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Q:\"/>
    </mc:Choice>
  </mc:AlternateContent>
  <xr:revisionPtr revIDLastSave="0" documentId="13_ncr:1_{61D9E133-EA2B-4FE5-B445-C5BC7BB63908}" xr6:coauthVersionLast="47" xr6:coauthVersionMax="47" xr10:uidLastSave="{00000000-0000-0000-0000-000000000000}"/>
  <bookViews>
    <workbookView xWindow="28740" yWindow="-60" windowWidth="28920" windowHeight="15600" xr2:uid="{00000000-000D-0000-FFFF-FFFF00000000}"/>
  </bookViews>
  <sheets>
    <sheet name="trtb72ltc-gery"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4" i="1" l="1"/>
  <c r="C63" i="1"/>
  <c r="C62" i="1"/>
  <c r="C61" i="1"/>
  <c r="C60" i="1"/>
  <c r="C59" i="1"/>
  <c r="C58" i="1"/>
</calcChain>
</file>

<file path=xl/sharedStrings.xml><?xml version="1.0" encoding="utf-8"?>
<sst xmlns="http://schemas.openxmlformats.org/spreadsheetml/2006/main" count="101" uniqueCount="79">
  <si>
    <t>牌子</t>
  </si>
  <si>
    <t>型號 (Catalogue - TGC+Simpa Series)</t>
    <phoneticPr fontId="0" type="noConversion"/>
  </si>
  <si>
    <t>(Catalogue - Simpa Series)</t>
    <phoneticPr fontId="0" type="noConversion"/>
  </si>
  <si>
    <t>(Catalogue - 個別)</t>
    <phoneticPr fontId="0" type="noConversion"/>
  </si>
  <si>
    <t>產品網址</t>
  </si>
  <si>
    <t>操作資料</t>
  </si>
  <si>
    <t>推出日期</t>
    <phoneticPr fontId="0" type="noConversion"/>
  </si>
  <si>
    <t>停售日期</t>
    <phoneticPr fontId="0" type="noConversion"/>
  </si>
  <si>
    <t>產地</t>
  </si>
  <si>
    <t>零售價</t>
  </si>
  <si>
    <t>建議可更換爐具</t>
  </si>
  <si>
    <t>尺寸</t>
  </si>
  <si>
    <t>mm毫米</t>
    <phoneticPr fontId="0" type="noConversion"/>
  </si>
  <si>
    <t>吋</t>
    <phoneticPr fontId="0" type="noConversion"/>
  </si>
  <si>
    <t>高度至廚櫃面</t>
    <phoneticPr fontId="0" type="noConversion"/>
  </si>
  <si>
    <t>高度至爐面</t>
    <phoneticPr fontId="0" type="noConversion"/>
  </si>
  <si>
    <t>高度至爐架</t>
    <phoneticPr fontId="0" type="noConversion"/>
  </si>
  <si>
    <t>闊</t>
  </si>
  <si>
    <t>深</t>
  </si>
  <si>
    <t>兩爐頭中心距離</t>
  </si>
  <si>
    <t>廚具尺寸組合：鑊 + 煲</t>
    <phoneticPr fontId="0" type="noConversion"/>
  </si>
  <si>
    <t>開孔尺寸</t>
  </si>
  <si>
    <t>輸入熱量</t>
  </si>
  <si>
    <t>爐頭數量</t>
  </si>
  <si>
    <t>爐頭</t>
  </si>
  <si>
    <t>兆焦耳/小時 (MJ/H) (最高)</t>
    <phoneticPr fontId="0" type="noConversion"/>
  </si>
  <si>
    <t>兆焦耳/小時 (MJ/H) (最低)</t>
    <phoneticPr fontId="0" type="noConversion"/>
  </si>
  <si>
    <t>千瓦特 (KW)(最高)</t>
    <phoneticPr fontId="0" type="noConversion"/>
  </si>
  <si>
    <t>千瓦特 (KW)(最低)</t>
    <phoneticPr fontId="0" type="noConversion"/>
  </si>
  <si>
    <t>英熱量單位 (Btu/H)(最高)</t>
    <phoneticPr fontId="0" type="noConversion"/>
  </si>
  <si>
    <t>英熱量單位 (Btu/H)(最低)</t>
    <phoneticPr fontId="0" type="noConversion"/>
  </si>
  <si>
    <t>最高耗氣量/小時</t>
    <phoneticPr fontId="0" type="noConversion"/>
  </si>
  <si>
    <t>最低耗氣量/小時</t>
    <phoneticPr fontId="0" type="noConversion"/>
  </si>
  <si>
    <t>可調校至細芯火</t>
  </si>
  <si>
    <t>特點</t>
  </si>
  <si>
    <t>點火電源</t>
  </si>
  <si>
    <t>交流電</t>
  </si>
  <si>
    <t>電池</t>
  </si>
  <si>
    <t>電池位置</t>
  </si>
  <si>
    <t>爐面顏色及材料</t>
  </si>
  <si>
    <t>打火操作</t>
  </si>
  <si>
    <t>火力調校</t>
  </si>
  <si>
    <t>爐頭設計 / 物料</t>
    <phoneticPr fontId="0" type="noConversion"/>
  </si>
  <si>
    <t>中式鑊爐頭</t>
  </si>
  <si>
    <t>中爐頭</t>
  </si>
  <si>
    <t>小爐頭</t>
  </si>
  <si>
    <t>智能</t>
  </si>
  <si>
    <t>煮飯</t>
  </si>
  <si>
    <t>鐵板燒爐頭</t>
  </si>
  <si>
    <t>爐架設計</t>
  </si>
  <si>
    <t>速遞 - 產品資料</t>
    <phoneticPr fontId="0" type="noConversion"/>
  </si>
  <si>
    <t>速遞</t>
  </si>
  <si>
    <t>零件資料</t>
    <phoneticPr fontId="0" type="noConversion"/>
  </si>
  <si>
    <t>重量</t>
  </si>
  <si>
    <t>公斤</t>
    <phoneticPr fontId="0" type="noConversion"/>
  </si>
  <si>
    <t>磅</t>
    <phoneticPr fontId="0" type="noConversion"/>
  </si>
  <si>
    <t>備註</t>
    <phoneticPr fontId="0" type="noConversion"/>
  </si>
  <si>
    <t>trtb72ltc_gery</t>
  </si>
  <si>
    <t>缺貨 - 可預約日期 ( DD/MM/YY )</t>
  </si>
  <si>
    <t/>
  </si>
  <si>
    <t>Standard Drawing: WDE keyword: TRTB72LT</t>
  </si>
  <si>
    <t>TGC</t>
  </si>
  <si>
    <t>TRTB72LT-C 蓮芯火 (灰色)</t>
  </si>
  <si>
    <t>R72TD</t>
  </si>
  <si>
    <t>https://goo.gl/rCQ7Nc</t>
  </si>
  <si>
    <t>貨源正常</t>
  </si>
  <si>
    <t>2018年6月25日</t>
  </si>
  <si>
    <t>台灣</t>
  </si>
  <si>
    <t>請按此處</t>
  </si>
  <si>
    <t>703 x 403 (27.7" x 15.9")</t>
  </si>
  <si>
    <t>左</t>
  </si>
  <si>
    <t>右</t>
  </si>
  <si>
    <t>不可以</t>
  </si>
  <si>
    <t>(1) 創新灰色陶瓷玻璃面，新穎時尚。
(2) 雙層爐頭設計，可獨立調楖下層火，最低火力 0.3 千瓦，滿足各式烹調要求。
(3) 簡易時間掣功能，到達預校熄火時間，爐火自動熄滅，使用方便快捷。
(4) 配合密封式爐頭和低身鑄鐵爐架，外形優美典雅，清潔容易。</t>
  </si>
  <si>
    <t>不適用</t>
  </si>
  <si>
    <t>兩枚D型1.5V</t>
  </si>
  <si>
    <t>灰色陶瓷玻璃</t>
  </si>
  <si>
    <t>旋鈕式</t>
  </si>
  <si>
    <t>圓形六邊承托架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</si>
</sst>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5" formatCode="&quot;$&quot;#,##0.00_);[Red]\(&quot;$&quot;#,##0.00\)"/>
    <numFmt numFmtId="166" formatCode="_(&quot;$&quot;* #,##0.00_);_(&quot;$&quot;* \(#,##0.00\);_(&quot;$&quot;* &quot;-&quot;??_);_(@_)"/>
    <numFmt numFmtId="167" formatCode="[$-404]ggge&quot;年&quot;m&quot;月&quot;d&quot;日&quot;;@"/>
    <numFmt numFmtId="168" formatCode="#,##0.0_);[Red]\(#,##0.0\)"/>
    <numFmt numFmtId="169" formatCode="0.0_ "/>
    <numFmt numFmtId="170" formatCode="0;[Red]0"/>
  </numFmts>
  <fonts count="5" x14ac:knownFonts="1">
    <font>
      <sz val="11"/>
      <color theme="1"/>
      <name val="Calibri"/>
      <family val="2"/>
      <scheme val="minor"/>
    </font>
    <font>
      <sz val="11"/>
      <color theme="1"/>
      <name val="Calibri"/>
      <family val="2"/>
      <scheme val="minor"/>
    </font>
    <font>
      <sz val="10"/>
      <name val="新細明體"/>
      <family val="1"/>
      <charset val="136"/>
    </font>
    <font>
      <sz val="12"/>
      <name val="新細明體"/>
      <family val="1"/>
      <charset val="136"/>
    </font>
    <font>
      <u/>
      <sz val="12"/>
      <color indexed="12"/>
      <name val="新細明體"/>
      <family val="1"/>
      <charset val="136"/>
    </font>
  </fonts>
  <fills count="14">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27"/>
        <bgColor indexed="64"/>
      </patternFill>
    </fill>
    <fill>
      <patternFill patternType="solid">
        <fgColor indexed="42"/>
        <bgColor indexed="64"/>
      </patternFill>
    </fill>
    <fill>
      <patternFill patternType="solid">
        <fgColor indexed="46"/>
        <bgColor indexed="64"/>
      </patternFill>
    </fill>
    <fill>
      <patternFill patternType="solid">
        <fgColor indexed="13"/>
        <bgColor indexed="64"/>
      </patternFill>
    </fill>
    <fill>
      <patternFill patternType="solid">
        <fgColor indexed="44"/>
        <bgColor indexed="64"/>
      </patternFill>
    </fill>
    <fill>
      <patternFill patternType="solid">
        <fgColor indexed="40"/>
        <bgColor indexed="64"/>
      </patternFill>
    </fill>
    <fill>
      <patternFill patternType="solid">
        <fgColor indexed="15"/>
        <bgColor indexed="64"/>
      </patternFill>
    </fill>
    <fill>
      <patternFill patternType="solid">
        <fgColor indexed="11"/>
        <bgColor indexed="64"/>
      </patternFill>
    </fill>
    <fill>
      <patternFill patternType="solid">
        <fgColor indexed="51"/>
        <bgColor indexed="64"/>
      </patternFill>
    </fill>
    <fill>
      <patternFill patternType="solid">
        <fgColor rgb="FFFF0000"/>
        <bgColor indexed="64"/>
      </patternFill>
    </fill>
  </fills>
  <borders count="39">
    <border>
      <left/>
      <right/>
      <top/>
      <bottom/>
      <diagonal/>
    </border>
    <border>
      <left style="medium">
        <color indexed="64"/>
      </left>
      <right/>
      <top style="medium">
        <color indexed="64"/>
      </top>
      <bottom/>
      <diagonal/>
    </border>
    <border>
      <left/>
      <right style="thin">
        <color indexed="8"/>
      </right>
      <top style="medium">
        <color indexed="64"/>
      </top>
      <bottom/>
      <diagonal/>
    </border>
    <border>
      <left style="thin">
        <color indexed="8"/>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8"/>
      </right>
      <top/>
      <bottom style="thin">
        <color indexed="64"/>
      </bottom>
      <diagonal/>
    </border>
    <border>
      <left/>
      <right style="thin">
        <color indexed="8"/>
      </right>
      <top style="thin">
        <color indexed="64"/>
      </top>
      <bottom/>
      <diagonal/>
    </border>
    <border>
      <left style="medium">
        <color indexed="64"/>
      </left>
      <right/>
      <top/>
      <bottom style="thin">
        <color indexed="8"/>
      </bottom>
      <diagonal/>
    </border>
    <border>
      <left/>
      <right style="thin">
        <color indexed="8"/>
      </right>
      <top/>
      <bottom style="thin">
        <color indexed="8"/>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xf numFmtId="166"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alignment vertical="center"/>
    </xf>
  </cellStyleXfs>
  <cellXfs count="105">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vertical="center"/>
    </xf>
    <xf numFmtId="0" fontId="2" fillId="2" borderId="21"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13" xfId="0" applyFont="1" applyFill="1" applyBorder="1" applyAlignment="1">
      <alignment horizontal="center" vertical="center"/>
    </xf>
    <xf numFmtId="38" fontId="3" fillId="3" borderId="21" xfId="0" applyNumberFormat="1" applyFont="1" applyFill="1" applyBorder="1" applyAlignment="1">
      <alignment horizontal="center" vertical="center"/>
    </xf>
    <xf numFmtId="168" fontId="3" fillId="3" borderId="13" xfId="0" applyNumberFormat="1" applyFont="1" applyFill="1" applyBorder="1" applyAlignment="1">
      <alignment horizontal="center" vertical="center"/>
    </xf>
    <xf numFmtId="38" fontId="3" fillId="4" borderId="21" xfId="0" applyNumberFormat="1" applyFont="1" applyFill="1" applyBorder="1" applyAlignment="1">
      <alignment horizontal="center" vertical="center"/>
    </xf>
    <xf numFmtId="168" fontId="3" fillId="4" borderId="13" xfId="0" applyNumberFormat="1" applyFont="1" applyFill="1" applyBorder="1" applyAlignment="1">
      <alignment horizontal="center" vertical="center"/>
    </xf>
    <xf numFmtId="0" fontId="3" fillId="6" borderId="21" xfId="0" applyFont="1" applyFill="1" applyBorder="1" applyAlignment="1">
      <alignment horizontal="center" vertical="center"/>
    </xf>
    <xf numFmtId="0" fontId="3" fillId="6" borderId="13" xfId="0" applyFont="1" applyFill="1" applyBorder="1" applyAlignment="1">
      <alignment horizontal="center" vertical="center"/>
    </xf>
    <xf numFmtId="169" fontId="2" fillId="2" borderId="21" xfId="0" applyNumberFormat="1" applyFont="1" applyFill="1" applyBorder="1" applyAlignment="1">
      <alignment horizontal="center" vertical="center"/>
    </xf>
    <xf numFmtId="169" fontId="3" fillId="6" borderId="21" xfId="0" applyNumberFormat="1" applyFont="1" applyFill="1" applyBorder="1" applyAlignment="1">
      <alignment horizontal="center" vertical="center"/>
    </xf>
    <xf numFmtId="169" fontId="3" fillId="6" borderId="13" xfId="0" applyNumberFormat="1" applyFont="1" applyFill="1" applyBorder="1" applyAlignment="1">
      <alignment horizontal="center" vertical="center"/>
    </xf>
    <xf numFmtId="170" fontId="3" fillId="6" borderId="21" xfId="0" applyNumberFormat="1" applyFont="1" applyFill="1" applyBorder="1" applyAlignment="1">
      <alignment horizontal="center" vertical="center"/>
    </xf>
    <xf numFmtId="170" fontId="3" fillId="6" borderId="13" xfId="0" applyNumberFormat="1" applyFont="1" applyFill="1" applyBorder="1" applyAlignment="1">
      <alignment horizontal="center" vertical="center"/>
    </xf>
    <xf numFmtId="165" fontId="3" fillId="6" borderId="21" xfId="0" applyNumberFormat="1" applyFont="1" applyFill="1" applyBorder="1" applyAlignment="1">
      <alignment horizontal="center" vertical="center"/>
    </xf>
    <xf numFmtId="165" fontId="3" fillId="6" borderId="13" xfId="0" applyNumberFormat="1" applyFont="1" applyFill="1" applyBorder="1" applyAlignment="1">
      <alignment horizontal="center" vertical="center"/>
    </xf>
    <xf numFmtId="9" fontId="3" fillId="7" borderId="15" xfId="2" applyFont="1" applyFill="1" applyBorder="1" applyAlignment="1">
      <alignment horizontal="center" vertical="center"/>
    </xf>
    <xf numFmtId="9" fontId="3" fillId="7" borderId="18" xfId="2" applyFont="1" applyFill="1" applyBorder="1" applyAlignment="1">
      <alignment horizontal="center" vertical="center"/>
    </xf>
    <xf numFmtId="0" fontId="3" fillId="0" borderId="21" xfId="0" applyFont="1" applyBorder="1" applyAlignment="1">
      <alignment horizontal="center" vertical="center"/>
    </xf>
    <xf numFmtId="0" fontId="3" fillId="0" borderId="13" xfId="0" applyFont="1" applyBorder="1" applyAlignment="1">
      <alignment horizontal="center" vertical="center"/>
    </xf>
    <xf numFmtId="0" fontId="2" fillId="0" borderId="0" xfId="0" applyFont="1" applyAlignment="1">
      <alignment horizontal="left" vertical="center"/>
    </xf>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0" borderId="3" xfId="3" applyBorder="1" applyAlignment="1">
      <alignment horizontal="center" vertical="center"/>
    </xf>
    <xf numFmtId="0" fontId="4" fillId="0" borderId="4" xfId="3" applyBorder="1" applyAlignment="1">
      <alignment horizontal="center" vertical="center"/>
    </xf>
    <xf numFmtId="0" fontId="2" fillId="2" borderId="5" xfId="0" applyFont="1" applyFill="1" applyBorder="1" applyAlignment="1">
      <alignment horizontal="center" vertical="center"/>
    </xf>
    <xf numFmtId="0" fontId="4" fillId="0" borderId="6" xfId="3" applyBorder="1" applyAlignment="1">
      <alignment horizontal="center" vertical="center"/>
    </xf>
    <xf numFmtId="0" fontId="2" fillId="2" borderId="7" xfId="0" applyFont="1" applyFill="1" applyBorder="1" applyAlignment="1">
      <alignment horizontal="center" vertical="center"/>
    </xf>
    <xf numFmtId="0" fontId="2" fillId="2" borderId="0" xfId="0" applyFont="1" applyFill="1" applyAlignment="1">
      <alignment horizontal="center" vertical="center"/>
    </xf>
    <xf numFmtId="0" fontId="3" fillId="0" borderId="8" xfId="3" applyFont="1" applyBorder="1" applyAlignment="1">
      <alignment horizontal="center" vertical="center"/>
    </xf>
    <xf numFmtId="0" fontId="3" fillId="0" borderId="9" xfId="3" applyFont="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3" fillId="0" borderId="12" xfId="3" applyFont="1" applyBorder="1" applyAlignment="1">
      <alignment horizontal="center" vertical="center"/>
    </xf>
    <xf numFmtId="0" fontId="3" fillId="0" borderId="13" xfId="3" applyFont="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4" fillId="0" borderId="16" xfId="3" applyBorder="1" applyAlignment="1">
      <alignment horizontal="center" vertical="center"/>
    </xf>
    <xf numFmtId="0" fontId="4" fillId="0" borderId="17" xfId="3" applyBorder="1" applyAlignment="1">
      <alignment horizontal="center" vertical="center"/>
    </xf>
    <xf numFmtId="0" fontId="2" fillId="13" borderId="14" xfId="0" applyFont="1" applyFill="1" applyBorder="1" applyAlignment="1">
      <alignment horizontal="center" vertical="center"/>
    </xf>
    <xf numFmtId="0" fontId="2" fillId="13" borderId="15" xfId="0" applyFont="1" applyFill="1" applyBorder="1" applyAlignment="1">
      <alignment horizontal="center" vertical="center"/>
    </xf>
    <xf numFmtId="0" fontId="0" fillId="0" borderId="15" xfId="3" applyFont="1" applyBorder="1" applyAlignment="1">
      <alignment horizontal="center" vertical="center"/>
    </xf>
    <xf numFmtId="0" fontId="0" fillId="0" borderId="18" xfId="3" applyFont="1" applyBorder="1" applyAlignment="1">
      <alignment horizontal="center" vertical="center"/>
    </xf>
    <xf numFmtId="0" fontId="2" fillId="2" borderId="19" xfId="0" applyFont="1" applyFill="1" applyBorder="1" applyAlignment="1">
      <alignment horizontal="center" vertical="center"/>
    </xf>
    <xf numFmtId="0" fontId="2" fillId="2" borderId="20" xfId="0" applyFont="1" applyFill="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2" fillId="2" borderId="21" xfId="0" applyFont="1" applyFill="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2" fillId="2" borderId="24" xfId="0" applyFont="1" applyFill="1" applyBorder="1" applyAlignment="1">
      <alignment horizontal="center" vertical="center"/>
    </xf>
    <xf numFmtId="0" fontId="2" fillId="2" borderId="26" xfId="0" applyFont="1" applyFill="1" applyBorder="1" applyAlignment="1">
      <alignment horizontal="center" vertical="center"/>
    </xf>
    <xf numFmtId="0" fontId="2" fillId="2" borderId="25" xfId="0" applyFont="1" applyFill="1" applyBorder="1" applyAlignment="1">
      <alignment horizontal="center" vertical="center"/>
    </xf>
    <xf numFmtId="167" fontId="3" fillId="0" borderId="15" xfId="3" applyNumberFormat="1" applyFont="1" applyBorder="1" applyAlignment="1">
      <alignment horizontal="center" vertical="center"/>
    </xf>
    <xf numFmtId="167" fontId="3" fillId="0" borderId="18" xfId="3" applyNumberFormat="1" applyFont="1" applyBorder="1" applyAlignment="1">
      <alignment horizontal="center" vertical="center"/>
    </xf>
    <xf numFmtId="0" fontId="3" fillId="0" borderId="27" xfId="0" applyFont="1" applyBorder="1" applyAlignment="1">
      <alignment horizontal="center" vertical="center"/>
    </xf>
    <xf numFmtId="164" fontId="3" fillId="0" borderId="27" xfId="1" applyNumberFormat="1" applyFont="1" applyBorder="1" applyAlignment="1">
      <alignment horizontal="center" vertical="center"/>
    </xf>
    <xf numFmtId="164" fontId="3" fillId="0" borderId="23" xfId="1" applyNumberFormat="1" applyFont="1" applyBorder="1" applyAlignment="1">
      <alignment horizontal="center" vertical="center"/>
    </xf>
    <xf numFmtId="0" fontId="4" fillId="0" borderId="27" xfId="3" applyBorder="1" applyAlignment="1">
      <alignment horizontal="center" vertical="center"/>
    </xf>
    <xf numFmtId="0" fontId="4" fillId="0" borderId="23" xfId="3"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2" fillId="2" borderId="28" xfId="0" applyFont="1" applyFill="1" applyBorder="1" applyAlignment="1">
      <alignment horizontal="center" vertical="top"/>
    </xf>
    <xf numFmtId="0" fontId="2" fillId="2" borderId="30" xfId="0" applyFont="1" applyFill="1" applyBorder="1" applyAlignment="1">
      <alignment horizontal="center" vertical="top"/>
    </xf>
    <xf numFmtId="0" fontId="3" fillId="8" borderId="22" xfId="0" applyFont="1" applyFill="1" applyBorder="1" applyAlignment="1">
      <alignment horizontal="center" vertical="center"/>
    </xf>
    <xf numFmtId="0" fontId="3" fillId="8" borderId="23"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23"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3" xfId="0" applyFont="1" applyFill="1" applyBorder="1" applyAlignment="1">
      <alignment horizontal="center" vertical="center"/>
    </xf>
    <xf numFmtId="0" fontId="2" fillId="2" borderId="24"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0" borderId="27" xfId="0" applyFont="1" applyBorder="1" applyAlignment="1">
      <alignment horizontal="left" vertical="top" wrapText="1"/>
    </xf>
    <xf numFmtId="0" fontId="2" fillId="0" borderId="23" xfId="0" applyFont="1" applyBorder="1" applyAlignment="1">
      <alignment horizontal="left" vertical="top" wrapText="1"/>
    </xf>
    <xf numFmtId="0" fontId="3" fillId="0" borderId="27" xfId="0" applyFont="1" applyBorder="1" applyAlignment="1">
      <alignment horizontal="center" vertical="center" wrapText="1"/>
    </xf>
    <xf numFmtId="0" fontId="2" fillId="2" borderId="31" xfId="0" applyFont="1" applyFill="1" applyBorder="1" applyAlignment="1">
      <alignment horizontal="center" vertical="center"/>
    </xf>
    <xf numFmtId="0" fontId="3" fillId="9" borderId="27" xfId="0" applyFont="1" applyFill="1" applyBorder="1" applyAlignment="1">
      <alignment horizontal="center" vertical="center" wrapText="1"/>
    </xf>
    <xf numFmtId="0" fontId="3" fillId="9" borderId="23"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3" fillId="10" borderId="27" xfId="0" applyFont="1" applyFill="1" applyBorder="1" applyAlignment="1">
      <alignment horizontal="center" vertical="center"/>
    </xf>
    <xf numFmtId="0" fontId="3" fillId="10" borderId="23" xfId="0" applyFont="1" applyFill="1" applyBorder="1" applyAlignment="1">
      <alignment horizontal="center" vertical="center"/>
    </xf>
    <xf numFmtId="0" fontId="3" fillId="11" borderId="27" xfId="0" applyFont="1" applyFill="1" applyBorder="1" applyAlignment="1">
      <alignment horizontal="center" vertical="center"/>
    </xf>
    <xf numFmtId="0" fontId="3" fillId="11" borderId="23" xfId="0" applyFont="1" applyFill="1" applyBorder="1" applyAlignment="1">
      <alignment horizontal="center" vertical="center"/>
    </xf>
    <xf numFmtId="0" fontId="2" fillId="2" borderId="28" xfId="0" applyFont="1" applyFill="1" applyBorder="1" applyAlignment="1">
      <alignment horizontal="center" vertical="top" wrapText="1"/>
    </xf>
    <xf numFmtId="0" fontId="2" fillId="2" borderId="29" xfId="0" applyFont="1" applyFill="1" applyBorder="1" applyAlignment="1">
      <alignment horizontal="center" vertical="top" wrapText="1"/>
    </xf>
    <xf numFmtId="0" fontId="2" fillId="2" borderId="30" xfId="0" applyFont="1" applyFill="1" applyBorder="1" applyAlignment="1">
      <alignment horizontal="center" vertical="top" wrapText="1"/>
    </xf>
    <xf numFmtId="0" fontId="3" fillId="12" borderId="22" xfId="0" applyFont="1" applyFill="1" applyBorder="1" applyAlignment="1">
      <alignment horizontal="center" vertical="center"/>
    </xf>
    <xf numFmtId="0" fontId="3" fillId="12" borderId="23" xfId="0" applyFont="1" applyFill="1" applyBorder="1" applyAlignment="1">
      <alignment horizontal="center" vertical="center"/>
    </xf>
    <xf numFmtId="0" fontId="3" fillId="0" borderId="0" xfId="0" applyFont="1" applyAlignment="1">
      <alignment horizontal="center" vertical="center"/>
    </xf>
    <xf numFmtId="0" fontId="3" fillId="0" borderId="22" xfId="3" applyFont="1" applyBorder="1" applyAlignment="1">
      <alignment horizontal="center" vertical="center"/>
    </xf>
    <xf numFmtId="0" fontId="3" fillId="0" borderId="23" xfId="3" applyFont="1" applyBorder="1" applyAlignment="1">
      <alignment horizontal="center" vertical="center"/>
    </xf>
    <xf numFmtId="0" fontId="2" fillId="2" borderId="32" xfId="0" applyFont="1" applyFill="1" applyBorder="1" applyAlignment="1">
      <alignment horizontal="center" vertical="center"/>
    </xf>
    <xf numFmtId="0" fontId="2" fillId="2" borderId="33"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35" xfId="0" applyFont="1" applyFill="1" applyBorder="1" applyAlignment="1">
      <alignment horizontal="center" vertical="center"/>
    </xf>
    <xf numFmtId="0" fontId="2" fillId="2" borderId="36" xfId="0" applyFont="1" applyFill="1" applyBorder="1" applyAlignment="1">
      <alignment horizontal="center" vertical="center"/>
    </xf>
    <xf numFmtId="0" fontId="3" fillId="0" borderId="37" xfId="0" applyFont="1" applyBorder="1" applyAlignment="1">
      <alignment horizontal="left" vertical="top" wrapText="1"/>
    </xf>
    <xf numFmtId="0" fontId="3" fillId="0" borderId="38" xfId="0" applyFont="1" applyBorder="1" applyAlignment="1">
      <alignment horizontal="left" vertical="top"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Y:\CSH\product_enq\master_data\built%20in%20hob.xlsx" TargetMode="External"/><Relationship Id="rId1" Type="http://schemas.openxmlformats.org/officeDocument/2006/relationships/externalLinkPath" Target="file:///S:\product_enq\master_data\built%20in%20ho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ilt in hob data"/>
      <sheetName val="drop down list"/>
      <sheetName val="gas charge"/>
    </sheetNames>
    <sheetDataSet>
      <sheetData sheetId="0">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cell r="CC1">
            <v>81</v>
          </cell>
          <cell r="CD1">
            <v>82</v>
          </cell>
          <cell r="CE1">
            <v>83</v>
          </cell>
          <cell r="CF1">
            <v>84</v>
          </cell>
          <cell r="CG1">
            <v>85</v>
          </cell>
          <cell r="CH1">
            <v>86</v>
          </cell>
          <cell r="CI1">
            <v>87</v>
          </cell>
          <cell r="CJ1">
            <v>88</v>
          </cell>
          <cell r="CK1">
            <v>89</v>
          </cell>
          <cell r="CL1">
            <v>90</v>
          </cell>
          <cell r="CM1">
            <v>91</v>
          </cell>
          <cell r="CN1">
            <v>92</v>
          </cell>
          <cell r="CO1">
            <v>93</v>
          </cell>
          <cell r="CP1">
            <v>94</v>
          </cell>
          <cell r="CQ1">
            <v>95</v>
          </cell>
          <cell r="CR1">
            <v>96</v>
          </cell>
          <cell r="CS1">
            <v>97</v>
          </cell>
          <cell r="CT1">
            <v>98</v>
          </cell>
          <cell r="CU1">
            <v>99</v>
          </cell>
          <cell r="CV1">
            <v>100</v>
          </cell>
          <cell r="CW1">
            <v>101</v>
          </cell>
          <cell r="CX1">
            <v>102</v>
          </cell>
          <cell r="CY1">
            <v>103</v>
          </cell>
          <cell r="CZ1">
            <v>104</v>
          </cell>
          <cell r="DA1">
            <v>105</v>
          </cell>
          <cell r="DB1">
            <v>106</v>
          </cell>
          <cell r="DC1">
            <v>107</v>
          </cell>
          <cell r="DD1">
            <v>108</v>
          </cell>
          <cell r="DE1">
            <v>109</v>
          </cell>
          <cell r="DF1">
            <v>110</v>
          </cell>
          <cell r="DG1">
            <v>111</v>
          </cell>
          <cell r="DH1">
            <v>112</v>
          </cell>
          <cell r="DI1">
            <v>113</v>
          </cell>
        </row>
        <row r="2">
          <cell r="Q2"/>
          <cell r="S2"/>
          <cell r="U2"/>
          <cell r="W2"/>
          <cell r="Y2"/>
          <cell r="AA2"/>
          <cell r="AC2" t="str">
            <v>670 x 350 (26.4" x 13.8")
703 x 403 (R116) (27.7" x 15.9")
703 x 403 (27.7" x 15.9")
815 x 405 (32.1" x 15.9")
835 x 475 (R116) (32.9" x 18.7")
835 x 475 (32.9" x 18.7")
860 x 485 (33.9" x 19.1")
555 x 475 (R116) (21.9" x 18.7")
555 x 475 (21.9" x 18.7")
268 x 490 (10.6" x 19.3")
226 x 490 (8.9" x 19.3")</v>
          </cell>
          <cell r="AJ2"/>
          <cell r="AK2"/>
          <cell r="AL2"/>
          <cell r="AM2"/>
          <cell r="AN2"/>
          <cell r="AO2"/>
          <cell r="AP2"/>
          <cell r="AQ2"/>
          <cell r="AR2"/>
          <cell r="AS2"/>
          <cell r="BD2"/>
          <cell r="BE2"/>
          <cell r="BF2"/>
          <cell r="BG2"/>
          <cell r="BH2"/>
          <cell r="BI2"/>
          <cell r="BJ2"/>
          <cell r="BK2"/>
          <cell r="BL2"/>
          <cell r="BM2"/>
          <cell r="BN2"/>
          <cell r="BO2"/>
          <cell r="BP2"/>
          <cell r="BQ2"/>
          <cell r="BR2"/>
          <cell r="BS2"/>
          <cell r="BT2"/>
          <cell r="BU2"/>
          <cell r="BV2"/>
          <cell r="BW2"/>
          <cell r="CF2" t="str">
            <v>爐底左前方
爐底右前方
爐底左後方
爐底右後方
爐底中央</v>
          </cell>
          <cell r="CH2" t="str">
            <v>旋鈕式</v>
          </cell>
          <cell r="CI2" t="str">
            <v>旋鈕式</v>
          </cell>
          <cell r="CR2" t="str">
            <v>圓形四邊承托
圓形五邊承托
方形六邊承托
長形連架</v>
          </cell>
          <cell r="CW2"/>
          <cell r="CX2"/>
        </row>
        <row r="3">
          <cell r="A3" t="str">
            <v xml:space="preserve">Model Link </v>
          </cell>
          <cell r="B3" t="str">
            <v xml:space="preserve">Status </v>
          </cell>
          <cell r="C3" t="str">
            <v>更改灶台詳情</v>
          </cell>
          <cell r="D3" t="str">
            <v>Star Product</v>
          </cell>
          <cell r="E3" t="str">
            <v>牌子</v>
          </cell>
          <cell r="F3" t="str">
            <v>型號 (Catalogue - TGC + Simpa Series)</v>
          </cell>
          <cell r="G3" t="str">
            <v>(Catalogue - Simpa / TGC Series)</v>
          </cell>
          <cell r="H3" t="str">
            <v>(Catalogue - Simpa / TGC Series)</v>
          </cell>
          <cell r="I3" t="str">
            <v>操作資料</v>
          </cell>
          <cell r="J3"/>
          <cell r="K3" t="str">
            <v>推出日期</v>
          </cell>
          <cell r="L3" t="str">
            <v>停售日期</v>
          </cell>
          <cell r="M3" t="str">
            <v>產地</v>
          </cell>
          <cell r="N3" t="str">
            <v>零售價</v>
          </cell>
          <cell r="O3" t="str">
            <v>建議可更換爐具</v>
          </cell>
          <cell r="P3" t="str">
            <v>高度至廚櫃面</v>
          </cell>
          <cell r="Q3" t="str">
            <v>吋</v>
          </cell>
          <cell r="R3" t="str">
            <v>高度至爐面</v>
          </cell>
          <cell r="S3" t="str">
            <v>吋</v>
          </cell>
          <cell r="T3" t="str">
            <v>高度至爐架</v>
          </cell>
          <cell r="U3" t="str">
            <v>吋</v>
          </cell>
          <cell r="V3" t="str">
            <v>闊</v>
          </cell>
          <cell r="W3" t="str">
            <v>吋</v>
          </cell>
          <cell r="X3" t="str">
            <v>深</v>
          </cell>
          <cell r="Y3" t="str">
            <v>吋</v>
          </cell>
          <cell r="Z3" t="str">
            <v>兩爐頭中心距離</v>
          </cell>
          <cell r="AA3" t="str">
            <v>吋</v>
          </cell>
          <cell r="AB3" t="str">
            <v>廚具尺寸組合</v>
          </cell>
          <cell r="AC3" t="str">
            <v>開孔尺吋</v>
          </cell>
          <cell r="AD3" t="str">
            <v>爐頭數量</v>
          </cell>
          <cell r="AE3" t="str">
            <v>爐頭 (單 / 雙 / 三 / 四 / 五)</v>
          </cell>
          <cell r="AF3" t="str">
            <v>爐頭 (雙/三/四/五)</v>
          </cell>
          <cell r="AG3" t="str">
            <v>爐頭 (三/四/五)</v>
          </cell>
          <cell r="AH3" t="str">
            <v>爐頭 (四/五)</v>
          </cell>
          <cell r="AI3" t="str">
            <v>爐頭 (五)</v>
          </cell>
          <cell r="AJ3" t="str">
            <v>兆焦耳 / 小時 (最高 ) (單 / 雙 / 三 / 四 / 五)</v>
          </cell>
          <cell r="AK3" t="str">
            <v>兆焦耳 / 小時 (最高 ) (雙/三/四/五)</v>
          </cell>
          <cell r="AL3" t="str">
            <v>兆焦耳 / 小時 (最高 ) (三/四/五)</v>
          </cell>
          <cell r="AM3" t="str">
            <v>兆焦耳 / 小時 (最高 ) (四/五)</v>
          </cell>
          <cell r="AN3" t="str">
            <v>兆焦耳 / 小時 (最高 ) (五)</v>
          </cell>
          <cell r="AO3" t="str">
            <v>兆焦耳 / 小時 (最低 ) (單 / 雙 / 三 / 四 / 五)</v>
          </cell>
          <cell r="AP3" t="str">
            <v>兆焦耳 / 小時 (最低 ) (雙/三/四/五)</v>
          </cell>
          <cell r="AQ3" t="str">
            <v xml:space="preserve">兆焦耳 / 小時 (最低 ) (三/四/五) </v>
          </cell>
          <cell r="AR3" t="str">
            <v>兆焦耳 / 小時 (最低 ) (細)</v>
          </cell>
          <cell r="AS3" t="str">
            <v>兆焦耳 / 小時 (最低 ) (五)</v>
          </cell>
          <cell r="AT3" t="str">
            <v>千瓦特 (最高) (單 / 雙 / 三 / 四 / 五)</v>
          </cell>
          <cell r="AU3" t="str">
            <v>千瓦特 (最高) (雙/三/四/五)</v>
          </cell>
          <cell r="AV3" t="str">
            <v>千瓦特 (最高) (三/四/五)</v>
          </cell>
          <cell r="AW3" t="str">
            <v>千瓦特 (最高) (四/五)</v>
          </cell>
          <cell r="AX3" t="str">
            <v>千瓦特 (最高) (五)</v>
          </cell>
          <cell r="AY3" t="str">
            <v>千瓦特 (最低) (單/雙/三/四/五)</v>
          </cell>
          <cell r="AZ3" t="str">
            <v>千瓦特 (最低) (雙/三/四/五)</v>
          </cell>
          <cell r="BA3" t="str">
            <v xml:space="preserve">千瓦特 (最低) (三/四/五) </v>
          </cell>
          <cell r="BB3" t="str">
            <v>千瓦特 (最低) (四/五)</v>
          </cell>
          <cell r="BC3" t="str">
            <v>千瓦特 (最低) (五)</v>
          </cell>
          <cell r="BD3" t="str">
            <v>英熱量單位 (最高) (單/雙/三/四/五)</v>
          </cell>
          <cell r="BE3" t="str">
            <v xml:space="preserve">英熱量單位 (最高) (雙/三/四/五) </v>
          </cell>
          <cell r="BF3" t="str">
            <v>英熱量單位 (最高) (三/四/五)</v>
          </cell>
          <cell r="BG3" t="str">
            <v>英熱量單位 (最高) (四/五)</v>
          </cell>
          <cell r="BH3" t="str">
            <v>英熱量單位 (最高) (五)</v>
          </cell>
          <cell r="BI3" t="str">
            <v>英熱量單位 (最低) (單/雙/三/四/五)</v>
          </cell>
          <cell r="BJ3" t="str">
            <v>英熱量單位 (最低) (雙/三/四/五)</v>
          </cell>
          <cell r="BK3" t="str">
            <v>英熱量單位 (最低) (三/四/五)</v>
          </cell>
          <cell r="BL3" t="str">
            <v>英熱量單位 (最低) (四/五)</v>
          </cell>
          <cell r="BM3" t="str">
            <v>英熱量單位 (最低) (五)</v>
          </cell>
          <cell r="BN3" t="str">
            <v>最高耗氣量 / 小時  (單/雙/三/四/五)</v>
          </cell>
          <cell r="BO3" t="str">
            <v>最高耗氣量 / 小時  (雙/三/四/五)</v>
          </cell>
          <cell r="BP3" t="str">
            <v>最高耗氣量 / 小時  (三/四/五)</v>
          </cell>
          <cell r="BQ3" t="str">
            <v>最高耗氣量 / 小時  (四/五)</v>
          </cell>
          <cell r="BR3" t="str">
            <v>最高耗氣量 / 小時  (五)</v>
          </cell>
          <cell r="BS3" t="str">
            <v>最低耗氣量 / 小時  (單/雙/三/四/五)</v>
          </cell>
          <cell r="BT3" t="str">
            <v>最低耗氣量 / 小時  (雙/三/四/五)</v>
          </cell>
          <cell r="BU3" t="str">
            <v>最低耗氣量 / 小時  (三/四/五)</v>
          </cell>
          <cell r="BV3" t="str">
            <v>最低耗氣量 / 小時  (四/五)</v>
          </cell>
          <cell r="BW3" t="str">
            <v>最低耗氣量 / 小時 (五)</v>
          </cell>
          <cell r="BX3" t="str">
            <v>可調校至細芯火 (單/雙/三/四/五)</v>
          </cell>
          <cell r="BY3" t="str">
            <v>可調校至細芯火 (雙/三/四/五)</v>
          </cell>
          <cell r="BZ3" t="str">
            <v>可調校至細芯火 (三/四/五)</v>
          </cell>
          <cell r="CA3" t="str">
            <v>可調校至細芯火 (四/五)</v>
          </cell>
          <cell r="CB3" t="str">
            <v>可調校至細芯火 (五)</v>
          </cell>
          <cell r="CC3" t="str">
            <v>特點</v>
          </cell>
          <cell r="CD3" t="str">
            <v>交流電</v>
          </cell>
          <cell r="CE3" t="str">
            <v>電池</v>
          </cell>
          <cell r="CF3" t="str">
            <v>電池位置</v>
          </cell>
          <cell r="CG3" t="str">
            <v>爐面顏色及材料</v>
          </cell>
          <cell r="CH3" t="str">
            <v>打火操作</v>
          </cell>
          <cell r="CI3" t="str">
            <v>火力調校</v>
          </cell>
          <cell r="CJ3" t="str">
            <v>爐頭設計 / 物料
大爐頭</v>
          </cell>
          <cell r="CK3" t="str">
            <v>爐頭設計 / 物料
中爐頭</v>
          </cell>
          <cell r="CL3" t="str">
            <v>中爐頭</v>
          </cell>
          <cell r="CM3" t="str">
            <v>細爐頭</v>
          </cell>
          <cell r="CN3" t="str">
            <v>細爐頭</v>
          </cell>
          <cell r="CO3" t="str">
            <v>智能爐頭</v>
          </cell>
          <cell r="CP3" t="str">
            <v>煮飯爐頭</v>
          </cell>
          <cell r="CQ3" t="str">
            <v>鐵板燒烤爐頭</v>
          </cell>
          <cell r="CR3" t="str">
            <v>爐架設計</v>
          </cell>
          <cell r="CS3" t="str">
            <v>速遞 - 產品資料</v>
          </cell>
          <cell r="CT3" t="str">
            <v>速遞</v>
          </cell>
          <cell r="CU3" t="str">
            <v>零件資料</v>
          </cell>
          <cell r="CV3" t="str">
            <v>重量</v>
          </cell>
          <cell r="CW3" t="str">
            <v>磅</v>
          </cell>
          <cell r="CX3" t="str">
            <v>備註</v>
          </cell>
          <cell r="DF3" t="str">
            <v>缺貨 - 可預約日期</v>
          </cell>
          <cell r="DG3" t="str">
            <v>產品網址</v>
          </cell>
        </row>
        <row r="4">
          <cell r="A4" t="str">
            <v>GL2C</v>
          </cell>
          <cell r="B4" t="str">
            <v>停售</v>
          </cell>
          <cell r="E4" t="str">
            <v>Goldline</v>
          </cell>
          <cell r="F4" t="str">
            <v>GL2C / GL2C (Softline)</v>
          </cell>
          <cell r="K4" t="str">
            <v>2000年4月29日</v>
          </cell>
          <cell r="L4" t="str">
            <v>資料不詳</v>
          </cell>
          <cell r="M4" t="str">
            <v>澳洲</v>
          </cell>
          <cell r="N4" t="str">
            <v>已停售</v>
          </cell>
          <cell r="O4" t="str">
            <v>請按此處</v>
          </cell>
          <cell r="P4">
            <v>48</v>
          </cell>
          <cell r="Q4">
            <v>1.8897637795275593</v>
          </cell>
          <cell r="R4">
            <v>56</v>
          </cell>
          <cell r="S4">
            <v>2.204724409448819</v>
          </cell>
          <cell r="U4">
            <v>0</v>
          </cell>
          <cell r="V4">
            <v>750</v>
          </cell>
          <cell r="W4">
            <v>29.527559055118111</v>
          </cell>
          <cell r="X4">
            <v>450</v>
          </cell>
          <cell r="Y4">
            <v>17.716535433070867</v>
          </cell>
          <cell r="Z4">
            <v>400</v>
          </cell>
          <cell r="AA4">
            <v>15.748031496062993</v>
          </cell>
          <cell r="AC4" t="str">
            <v>670 x 350 (26.4" x 13.8")</v>
          </cell>
          <cell r="AD4">
            <v>2</v>
          </cell>
          <cell r="AE4" t="str">
            <v>左</v>
          </cell>
          <cell r="AF4" t="str">
            <v>右</v>
          </cell>
          <cell r="AJ4">
            <v>15.120000000000001</v>
          </cell>
          <cell r="AK4">
            <v>15.120000000000001</v>
          </cell>
          <cell r="AL4">
            <v>0</v>
          </cell>
          <cell r="AM4">
            <v>0</v>
          </cell>
          <cell r="AN4">
            <v>0</v>
          </cell>
          <cell r="AO4">
            <v>0</v>
          </cell>
          <cell r="AP4">
            <v>0</v>
          </cell>
          <cell r="AQ4">
            <v>0</v>
          </cell>
          <cell r="AR4">
            <v>0</v>
          </cell>
          <cell r="AS4">
            <v>0</v>
          </cell>
          <cell r="AT4">
            <v>4.2</v>
          </cell>
          <cell r="AU4">
            <v>4.2</v>
          </cell>
          <cell r="BD4">
            <v>14347.021276560001</v>
          </cell>
          <cell r="BE4">
            <v>14347.021276560001</v>
          </cell>
          <cell r="BF4">
            <v>0</v>
          </cell>
          <cell r="BG4">
            <v>0</v>
          </cell>
          <cell r="BH4">
            <v>0</v>
          </cell>
          <cell r="BI4">
            <v>0</v>
          </cell>
          <cell r="BJ4">
            <v>0</v>
          </cell>
          <cell r="BK4">
            <v>0</v>
          </cell>
          <cell r="BL4">
            <v>0</v>
          </cell>
          <cell r="BM4">
            <v>0</v>
          </cell>
          <cell r="BN4">
            <v>3.9463200000000005</v>
          </cell>
          <cell r="BO4">
            <v>3.9463200000000005</v>
          </cell>
          <cell r="BP4">
            <v>0</v>
          </cell>
          <cell r="BQ4">
            <v>0</v>
          </cell>
          <cell r="BR4">
            <v>0</v>
          </cell>
          <cell r="BS4">
            <v>0</v>
          </cell>
          <cell r="BT4">
            <v>0</v>
          </cell>
          <cell r="BU4">
            <v>0</v>
          </cell>
          <cell r="BV4">
            <v>0</v>
          </cell>
          <cell r="BW4">
            <v>0</v>
          </cell>
          <cell r="BX4" t="str">
            <v>不可以</v>
          </cell>
          <cell r="BY4" t="str">
            <v>不可以</v>
          </cell>
          <cell r="CC4" t="str">
            <v>爐頭與爐架之窄隙設計，減少溢出食物滲入爐內。</v>
          </cell>
          <cell r="CD4" t="str">
            <v>220V,13A</v>
          </cell>
          <cell r="CE4" t="str">
            <v>不適用</v>
          </cell>
          <cell r="CF4" t="str">
            <v>不適用</v>
          </cell>
          <cell r="CG4" t="str">
            <v>黑色強化玻璃</v>
          </cell>
          <cell r="CH4" t="str">
            <v>旋鈕式</v>
          </cell>
          <cell r="CI4" t="str">
            <v>旋鈕式</v>
          </cell>
          <cell r="CJ4" t="str">
            <v>雙環</v>
          </cell>
          <cell r="CK4" t="str">
            <v>不適用</v>
          </cell>
          <cell r="CL4" t="str">
            <v>不適用</v>
          </cell>
          <cell r="CM4" t="str">
            <v>不適用</v>
          </cell>
          <cell r="CN4" t="str">
            <v>不適用</v>
          </cell>
          <cell r="CO4" t="str">
            <v>不適用</v>
          </cell>
          <cell r="CP4" t="str">
            <v>不適用</v>
          </cell>
          <cell r="CQ4" t="str">
            <v>不適用</v>
          </cell>
          <cell r="CR4" t="str">
            <v>圓形五邊承托架</v>
          </cell>
          <cell r="CS4" t="str">
            <v>請按此處</v>
          </cell>
          <cell r="CT4" t="str">
            <v>不適用</v>
          </cell>
          <cell r="CW4">
            <v>0</v>
          </cell>
          <cell r="CX4"/>
          <cell r="DF4"/>
        </row>
        <row r="5">
          <cell r="A5" t="str">
            <v>RB2C</v>
          </cell>
          <cell r="B5" t="str">
            <v>停售</v>
          </cell>
          <cell r="E5" t="str">
            <v>Rinnai</v>
          </cell>
          <cell r="F5" t="str">
            <v>RB2CA/B</v>
          </cell>
          <cell r="K5" t="str">
            <v>資料不詳</v>
          </cell>
          <cell r="L5" t="str">
            <v>資料不詳</v>
          </cell>
          <cell r="M5" t="str">
            <v>日本</v>
          </cell>
          <cell r="N5" t="str">
            <v>已停售</v>
          </cell>
          <cell r="O5" t="str">
            <v>請按此處</v>
          </cell>
          <cell r="P5">
            <v>132</v>
          </cell>
          <cell r="Q5">
            <v>5.1968503937007879</v>
          </cell>
          <cell r="R5">
            <v>150</v>
          </cell>
          <cell r="S5">
            <v>5.9055118110236222</v>
          </cell>
          <cell r="T5">
            <v>189</v>
          </cell>
          <cell r="U5">
            <v>7.4409448818897639</v>
          </cell>
          <cell r="V5">
            <v>710</v>
          </cell>
          <cell r="W5">
            <v>27.952755905511811</v>
          </cell>
          <cell r="X5">
            <v>420</v>
          </cell>
          <cell r="Y5">
            <v>16.535433070866144</v>
          </cell>
          <cell r="Z5">
            <v>400</v>
          </cell>
          <cell r="AA5">
            <v>15.748031496062993</v>
          </cell>
          <cell r="AC5" t="str">
            <v>670 x 350 (26.4" x 13.8")</v>
          </cell>
          <cell r="AD5">
            <v>2</v>
          </cell>
          <cell r="AE5" t="str">
            <v>左</v>
          </cell>
          <cell r="AF5" t="str">
            <v>右</v>
          </cell>
          <cell r="AJ5">
            <v>16.559999999999999</v>
          </cell>
          <cell r="AK5">
            <v>16.559999999999999</v>
          </cell>
          <cell r="AL5">
            <v>0</v>
          </cell>
          <cell r="AM5">
            <v>0</v>
          </cell>
          <cell r="AN5">
            <v>0</v>
          </cell>
          <cell r="AO5">
            <v>0</v>
          </cell>
          <cell r="AP5">
            <v>0</v>
          </cell>
          <cell r="AQ5">
            <v>0</v>
          </cell>
          <cell r="AR5">
            <v>0</v>
          </cell>
          <cell r="AS5">
            <v>0</v>
          </cell>
          <cell r="AT5">
            <v>4.5999999999999996</v>
          </cell>
          <cell r="AU5">
            <v>4.5999999999999996</v>
          </cell>
          <cell r="BD5">
            <v>15713.404255279998</v>
          </cell>
          <cell r="BE5">
            <v>15713.404255279998</v>
          </cell>
          <cell r="BF5">
            <v>0</v>
          </cell>
          <cell r="BG5">
            <v>0</v>
          </cell>
          <cell r="BH5">
            <v>0</v>
          </cell>
          <cell r="BI5">
            <v>0</v>
          </cell>
          <cell r="BJ5">
            <v>0</v>
          </cell>
          <cell r="BK5">
            <v>0</v>
          </cell>
          <cell r="BL5">
            <v>0</v>
          </cell>
          <cell r="BM5">
            <v>0</v>
          </cell>
          <cell r="BN5">
            <v>4.3221600000000002</v>
          </cell>
          <cell r="BO5">
            <v>4.3221600000000002</v>
          </cell>
          <cell r="BP5">
            <v>0</v>
          </cell>
          <cell r="BQ5">
            <v>0</v>
          </cell>
          <cell r="BR5">
            <v>0</v>
          </cell>
          <cell r="BS5">
            <v>0</v>
          </cell>
          <cell r="BT5">
            <v>0</v>
          </cell>
          <cell r="BU5">
            <v>0</v>
          </cell>
          <cell r="BV5">
            <v>0</v>
          </cell>
          <cell r="BW5">
            <v>0</v>
          </cell>
          <cell r="BX5" t="str">
            <v>不可以</v>
          </cell>
          <cell r="BY5" t="str">
            <v>不可以</v>
          </cell>
          <cell r="CD5" t="str">
            <v>220V</v>
          </cell>
          <cell r="CE5" t="str">
            <v>一枚D型1.5V</v>
          </cell>
          <cell r="CF5" t="str">
            <v>中前方</v>
          </cell>
          <cell r="CG5" t="str">
            <v>白色搪瓷</v>
          </cell>
          <cell r="CH5" t="str">
            <v>旋鈕式</v>
          </cell>
          <cell r="CI5" t="str">
            <v>旋鈕式</v>
          </cell>
          <cell r="CJ5" t="str">
            <v>雙環</v>
          </cell>
          <cell r="CK5" t="str">
            <v>不適用</v>
          </cell>
          <cell r="CL5" t="str">
            <v>不適用</v>
          </cell>
          <cell r="CM5" t="str">
            <v>不適用</v>
          </cell>
          <cell r="CN5" t="str">
            <v>不適用</v>
          </cell>
          <cell r="CO5" t="str">
            <v>不適用</v>
          </cell>
          <cell r="CP5" t="str">
            <v>不適用</v>
          </cell>
          <cell r="CQ5" t="str">
            <v>不適用</v>
          </cell>
          <cell r="CR5" t="str">
            <v>方形六邊承托架</v>
          </cell>
          <cell r="CS5" t="str">
            <v>不適用</v>
          </cell>
          <cell r="CT5" t="str">
            <v>不適用</v>
          </cell>
          <cell r="CU5" t="str">
            <v>請按此處</v>
          </cell>
          <cell r="CV5">
            <v>11.2</v>
          </cell>
          <cell r="CW5">
            <v>24.64</v>
          </cell>
          <cell r="CX5"/>
          <cell r="CZ5" t="str">
            <v>電池資料由Ivan Chung提供</v>
          </cell>
        </row>
        <row r="6">
          <cell r="A6" t="str">
            <v>RB2CG</v>
          </cell>
          <cell r="B6" t="str">
            <v>停售</v>
          </cell>
          <cell r="E6" t="str">
            <v>Rinnai</v>
          </cell>
          <cell r="F6" t="str">
            <v>RB2CGA/B</v>
          </cell>
          <cell r="K6" t="str">
            <v>資料不詳</v>
          </cell>
          <cell r="L6" t="str">
            <v>2007年11月30日</v>
          </cell>
          <cell r="M6" t="str">
            <v>日本</v>
          </cell>
          <cell r="N6" t="str">
            <v>已停售</v>
          </cell>
          <cell r="O6" t="str">
            <v>請按此處</v>
          </cell>
          <cell r="P6">
            <v>132</v>
          </cell>
          <cell r="Q6">
            <v>5.1968503937007879</v>
          </cell>
          <cell r="R6">
            <v>150</v>
          </cell>
          <cell r="S6">
            <v>5.9055118110236222</v>
          </cell>
          <cell r="T6">
            <v>189</v>
          </cell>
          <cell r="U6">
            <v>7.4409448818897639</v>
          </cell>
          <cell r="V6">
            <v>710</v>
          </cell>
          <cell r="W6">
            <v>27.952755905511811</v>
          </cell>
          <cell r="X6">
            <v>420</v>
          </cell>
          <cell r="Y6">
            <v>16.535433070866144</v>
          </cell>
          <cell r="Z6">
            <v>400</v>
          </cell>
          <cell r="AA6">
            <v>15.748031496062993</v>
          </cell>
          <cell r="AC6" t="str">
            <v>670 x 350 (26.4" x 13.8")</v>
          </cell>
          <cell r="AD6">
            <v>2</v>
          </cell>
          <cell r="AE6" t="str">
            <v>左</v>
          </cell>
          <cell r="AF6" t="str">
            <v>右</v>
          </cell>
          <cell r="AJ6">
            <v>16.559999999999999</v>
          </cell>
          <cell r="AK6">
            <v>16.559999999999999</v>
          </cell>
          <cell r="AL6">
            <v>0</v>
          </cell>
          <cell r="AM6">
            <v>0</v>
          </cell>
          <cell r="AN6">
            <v>0</v>
          </cell>
          <cell r="AO6">
            <v>0</v>
          </cell>
          <cell r="AP6">
            <v>0</v>
          </cell>
          <cell r="AQ6">
            <v>0</v>
          </cell>
          <cell r="AR6">
            <v>0</v>
          </cell>
          <cell r="AS6">
            <v>0</v>
          </cell>
          <cell r="AT6">
            <v>4.5999999999999996</v>
          </cell>
          <cell r="AU6">
            <v>4.5999999999999996</v>
          </cell>
          <cell r="BD6">
            <v>15713.404255279998</v>
          </cell>
          <cell r="BE6">
            <v>15713.404255279998</v>
          </cell>
          <cell r="BF6">
            <v>0</v>
          </cell>
          <cell r="BG6">
            <v>0</v>
          </cell>
          <cell r="BH6">
            <v>0</v>
          </cell>
          <cell r="BI6">
            <v>0</v>
          </cell>
          <cell r="BJ6">
            <v>0</v>
          </cell>
          <cell r="BK6">
            <v>0</v>
          </cell>
          <cell r="BL6">
            <v>0</v>
          </cell>
          <cell r="BM6">
            <v>0</v>
          </cell>
          <cell r="BN6">
            <v>4.3221600000000002</v>
          </cell>
          <cell r="BO6">
            <v>4.3221600000000002</v>
          </cell>
          <cell r="BP6">
            <v>0</v>
          </cell>
          <cell r="BQ6">
            <v>0</v>
          </cell>
          <cell r="BR6">
            <v>0</v>
          </cell>
          <cell r="BS6">
            <v>0</v>
          </cell>
          <cell r="BT6">
            <v>0</v>
          </cell>
          <cell r="BU6">
            <v>0</v>
          </cell>
          <cell r="BV6">
            <v>0</v>
          </cell>
          <cell r="BW6">
            <v>0</v>
          </cell>
          <cell r="BX6" t="str">
            <v>不可以</v>
          </cell>
          <cell r="BY6" t="str">
            <v>不可以</v>
          </cell>
          <cell r="CD6" t="str">
            <v>220V</v>
          </cell>
          <cell r="CE6" t="str">
            <v>兩枚D型1.5V</v>
          </cell>
          <cell r="CF6" t="str">
            <v>中前方</v>
          </cell>
          <cell r="CG6" t="str">
            <v>灰色搪瓷</v>
          </cell>
          <cell r="CH6" t="str">
            <v>旋鈕式</v>
          </cell>
          <cell r="CI6" t="str">
            <v>旋鈕式</v>
          </cell>
          <cell r="CJ6" t="str">
            <v>雙環</v>
          </cell>
          <cell r="CK6" t="str">
            <v>不適用</v>
          </cell>
          <cell r="CL6" t="str">
            <v>不適用</v>
          </cell>
          <cell r="CM6" t="str">
            <v>不適用</v>
          </cell>
          <cell r="CN6" t="str">
            <v>不適用</v>
          </cell>
          <cell r="CO6" t="str">
            <v>不適用</v>
          </cell>
          <cell r="CP6" t="str">
            <v>不適用</v>
          </cell>
          <cell r="CQ6" t="str">
            <v>不適用</v>
          </cell>
          <cell r="CR6" t="str">
            <v>方形六邊承托架</v>
          </cell>
          <cell r="CS6" t="str">
            <v>不適用</v>
          </cell>
          <cell r="CT6" t="str">
            <v>不適用</v>
          </cell>
          <cell r="CU6" t="str">
            <v>不適用</v>
          </cell>
          <cell r="CV6">
            <v>11.2</v>
          </cell>
          <cell r="CW6">
            <v>24.64</v>
          </cell>
          <cell r="CX6"/>
        </row>
        <row r="7">
          <cell r="A7" t="str">
            <v>RB2GA</v>
          </cell>
          <cell r="B7" t="str">
            <v>停售</v>
          </cell>
          <cell r="E7" t="str">
            <v>Rinnai</v>
          </cell>
          <cell r="F7" t="str">
            <v>RB2GA</v>
          </cell>
          <cell r="K7" t="str">
            <v>資料不詳</v>
          </cell>
          <cell r="L7" t="str">
            <v>資料不詳</v>
          </cell>
          <cell r="M7" t="str">
            <v>台灣</v>
          </cell>
          <cell r="N7" t="str">
            <v>已停售</v>
          </cell>
          <cell r="O7" t="str">
            <v>請按此處</v>
          </cell>
          <cell r="P7">
            <v>55</v>
          </cell>
          <cell r="Q7">
            <v>2.1653543307086616</v>
          </cell>
          <cell r="R7">
            <v>63</v>
          </cell>
          <cell r="S7">
            <v>2.4803149606299213</v>
          </cell>
          <cell r="U7">
            <v>0</v>
          </cell>
          <cell r="V7">
            <v>750</v>
          </cell>
          <cell r="W7">
            <v>29.527559055118111</v>
          </cell>
          <cell r="X7">
            <v>450</v>
          </cell>
          <cell r="Y7">
            <v>17.716535433070867</v>
          </cell>
          <cell r="Z7">
            <v>400</v>
          </cell>
          <cell r="AA7">
            <v>15.748031496062993</v>
          </cell>
          <cell r="AC7" t="str">
            <v>670 x 350 (26.4" x 13.8")</v>
          </cell>
          <cell r="AD7">
            <v>2</v>
          </cell>
          <cell r="AE7" t="str">
            <v>左</v>
          </cell>
          <cell r="AF7" t="str">
            <v>右</v>
          </cell>
          <cell r="AJ7">
            <v>17.28</v>
          </cell>
          <cell r="AK7">
            <v>17.28</v>
          </cell>
          <cell r="AL7">
            <v>0</v>
          </cell>
          <cell r="AM7">
            <v>0</v>
          </cell>
          <cell r="AN7">
            <v>0</v>
          </cell>
          <cell r="AO7">
            <v>0</v>
          </cell>
          <cell r="AP7">
            <v>0</v>
          </cell>
          <cell r="AQ7">
            <v>0</v>
          </cell>
          <cell r="AR7">
            <v>0</v>
          </cell>
          <cell r="AS7">
            <v>0</v>
          </cell>
          <cell r="AT7">
            <v>4.8</v>
          </cell>
          <cell r="AU7">
            <v>4.8</v>
          </cell>
          <cell r="BD7">
            <v>16396.595744639999</v>
          </cell>
          <cell r="BE7">
            <v>16396.595744639999</v>
          </cell>
          <cell r="BF7">
            <v>0</v>
          </cell>
          <cell r="BG7">
            <v>0</v>
          </cell>
          <cell r="BH7">
            <v>0</v>
          </cell>
          <cell r="BI7">
            <v>0</v>
          </cell>
          <cell r="BJ7">
            <v>0</v>
          </cell>
          <cell r="BK7">
            <v>0</v>
          </cell>
          <cell r="BL7">
            <v>0</v>
          </cell>
          <cell r="BM7">
            <v>0</v>
          </cell>
          <cell r="BN7">
            <v>4.5100800000000003</v>
          </cell>
          <cell r="BO7">
            <v>4.5100800000000003</v>
          </cell>
          <cell r="BP7">
            <v>0</v>
          </cell>
          <cell r="BQ7">
            <v>0</v>
          </cell>
          <cell r="BR7">
            <v>0</v>
          </cell>
          <cell r="BS7">
            <v>0</v>
          </cell>
          <cell r="BT7">
            <v>0</v>
          </cell>
          <cell r="BU7">
            <v>0</v>
          </cell>
          <cell r="BV7">
            <v>0</v>
          </cell>
          <cell r="BW7">
            <v>0</v>
          </cell>
          <cell r="BX7" t="str">
            <v>不可以</v>
          </cell>
          <cell r="BY7" t="str">
            <v>不可以</v>
          </cell>
          <cell r="CC7" t="str">
            <v>火力\強大，市面玻璃面爐中最大。
爐頭座(Burner Base)為表面鍍鉻(Chromium Plated)生鐵 (Cast Iron)物料，美觀耐用，不易變形。
黑金玻璃面配備金色銅合金爐頭環，而白色玻璃則配表鍍鉻銅合金，燃燒時不易變黑，爐底溫度特低，不會燙手。</v>
          </cell>
          <cell r="CD7" t="str">
            <v>220V</v>
          </cell>
          <cell r="CE7" t="str">
            <v>不適用</v>
          </cell>
          <cell r="CF7" t="str">
            <v>資料不詳</v>
          </cell>
          <cell r="CG7" t="str">
            <v>白色強化玻璃
黑色強化玻璃</v>
          </cell>
          <cell r="CH7" t="str">
            <v>旋鈕式</v>
          </cell>
          <cell r="CI7" t="str">
            <v>旋鈕式</v>
          </cell>
          <cell r="CJ7" t="str">
            <v>雙環</v>
          </cell>
          <cell r="CK7" t="str">
            <v>不適用</v>
          </cell>
          <cell r="CL7" t="str">
            <v>不適用</v>
          </cell>
          <cell r="CM7" t="str">
            <v>不適用</v>
          </cell>
          <cell r="CN7" t="str">
            <v>不適用</v>
          </cell>
          <cell r="CO7" t="str">
            <v>不適用</v>
          </cell>
          <cell r="CP7" t="str">
            <v>不適用</v>
          </cell>
          <cell r="CQ7" t="str">
            <v>不適用</v>
          </cell>
          <cell r="CR7" t="str">
            <v>圓形五邊承托架</v>
          </cell>
          <cell r="CS7" t="str">
            <v>不適用</v>
          </cell>
          <cell r="CT7" t="str">
            <v>不適用</v>
          </cell>
          <cell r="CU7" t="str">
            <v>請按此處</v>
          </cell>
          <cell r="CW7">
            <v>0</v>
          </cell>
          <cell r="CX7" t="str">
            <v>爐頭座(Burner Base)為表面鍍鉻(Chromium Plated)生鐵 (Cast Iron)物料，美觀耐用，不易變形。
黑金玻璃面配備金色銅合金爐頭環，而白色玻璃則配表鍍鉻銅合金，燃燒時不易變黑，爐底溫度特低，不會燙手。</v>
          </cell>
        </row>
        <row r="8">
          <cell r="A8" t="str">
            <v>RB2GB</v>
          </cell>
          <cell r="B8" t="str">
            <v>停售</v>
          </cell>
          <cell r="E8" t="str">
            <v>Rinnai</v>
          </cell>
          <cell r="F8" t="str">
            <v xml:space="preserve">RB2GB </v>
          </cell>
          <cell r="K8" t="str">
            <v>資料不詳</v>
          </cell>
          <cell r="L8" t="str">
            <v>資料不詳</v>
          </cell>
          <cell r="M8" t="str">
            <v>台灣</v>
          </cell>
          <cell r="N8" t="str">
            <v>已停售</v>
          </cell>
          <cell r="O8" t="str">
            <v>請按此處</v>
          </cell>
          <cell r="P8">
            <v>55</v>
          </cell>
          <cell r="Q8">
            <v>2.1653543307086616</v>
          </cell>
          <cell r="R8">
            <v>63</v>
          </cell>
          <cell r="S8">
            <v>2.4803149606299213</v>
          </cell>
          <cell r="U8">
            <v>0</v>
          </cell>
          <cell r="V8">
            <v>750</v>
          </cell>
          <cell r="W8">
            <v>29.527559055118111</v>
          </cell>
          <cell r="X8">
            <v>450</v>
          </cell>
          <cell r="Y8">
            <v>17.716535433070867</v>
          </cell>
          <cell r="Z8">
            <v>400</v>
          </cell>
          <cell r="AA8">
            <v>15.748031496062993</v>
          </cell>
          <cell r="AC8" t="str">
            <v>670 x 350 (26.4" x 13.8")</v>
          </cell>
          <cell r="AD8">
            <v>2</v>
          </cell>
          <cell r="AE8" t="str">
            <v>左</v>
          </cell>
          <cell r="AF8" t="str">
            <v>右</v>
          </cell>
          <cell r="AJ8">
            <v>17.28</v>
          </cell>
          <cell r="AK8">
            <v>17.28</v>
          </cell>
          <cell r="AL8">
            <v>0</v>
          </cell>
          <cell r="AM8">
            <v>0</v>
          </cell>
          <cell r="AN8">
            <v>0</v>
          </cell>
          <cell r="AO8">
            <v>0</v>
          </cell>
          <cell r="AP8">
            <v>0</v>
          </cell>
          <cell r="AQ8">
            <v>0</v>
          </cell>
          <cell r="AR8">
            <v>0</v>
          </cell>
          <cell r="AS8">
            <v>0</v>
          </cell>
          <cell r="AT8">
            <v>4.8</v>
          </cell>
          <cell r="AU8">
            <v>4.8</v>
          </cell>
          <cell r="BD8">
            <v>16396.595744639999</v>
          </cell>
          <cell r="BE8">
            <v>16396.595744639999</v>
          </cell>
          <cell r="BF8">
            <v>0</v>
          </cell>
          <cell r="BG8">
            <v>0</v>
          </cell>
          <cell r="BH8">
            <v>0</v>
          </cell>
          <cell r="BI8">
            <v>0</v>
          </cell>
          <cell r="BJ8">
            <v>0</v>
          </cell>
          <cell r="BK8">
            <v>0</v>
          </cell>
          <cell r="BL8">
            <v>0</v>
          </cell>
          <cell r="BM8">
            <v>0</v>
          </cell>
          <cell r="BN8">
            <v>4.5100800000000003</v>
          </cell>
          <cell r="BO8">
            <v>4.5100800000000003</v>
          </cell>
          <cell r="BP8">
            <v>0</v>
          </cell>
          <cell r="BQ8">
            <v>0</v>
          </cell>
          <cell r="BR8">
            <v>0</v>
          </cell>
          <cell r="BS8">
            <v>0</v>
          </cell>
          <cell r="BT8">
            <v>0</v>
          </cell>
          <cell r="BU8">
            <v>0</v>
          </cell>
          <cell r="BV8">
            <v>0</v>
          </cell>
          <cell r="BW8">
            <v>0</v>
          </cell>
          <cell r="BX8" t="str">
            <v>不可以</v>
          </cell>
          <cell r="BY8" t="str">
            <v>不可以</v>
          </cell>
          <cell r="CC8" t="str">
            <v xml:space="preserve">火力\強大，市面玻璃面爐中最大。
</v>
          </cell>
          <cell r="CD8" t="str">
            <v>不適用</v>
          </cell>
          <cell r="CE8" t="str">
            <v>一枚D型1.5V</v>
          </cell>
          <cell r="CF8" t="str">
            <v>資料不詳</v>
          </cell>
          <cell r="CG8" t="str">
            <v>白色強化玻璃
黑色強化玻璃</v>
          </cell>
          <cell r="CH8" t="str">
            <v>旋鈕式</v>
          </cell>
          <cell r="CI8" t="str">
            <v>旋鈕式</v>
          </cell>
          <cell r="CJ8" t="str">
            <v>雙環</v>
          </cell>
          <cell r="CK8" t="str">
            <v>不適用</v>
          </cell>
          <cell r="CL8" t="str">
            <v>不適用</v>
          </cell>
          <cell r="CM8" t="str">
            <v>不適用</v>
          </cell>
          <cell r="CN8" t="str">
            <v>不適用</v>
          </cell>
          <cell r="CO8" t="str">
            <v>不適用</v>
          </cell>
          <cell r="CP8" t="str">
            <v>不適用</v>
          </cell>
          <cell r="CQ8" t="str">
            <v>不適用</v>
          </cell>
          <cell r="CR8" t="str">
            <v>圓形五邊承托架</v>
          </cell>
          <cell r="CS8" t="str">
            <v>不適用</v>
          </cell>
          <cell r="CT8" t="str">
            <v>不適用</v>
          </cell>
          <cell r="CU8" t="str">
            <v>請按此處</v>
          </cell>
          <cell r="CW8">
            <v>0</v>
          </cell>
          <cell r="CX8" t="str">
            <v>爐頭座(Burner Base)為表面鍍鉻(Chromium Plated)生鐵 (Cast Iron)物料，美觀耐用，不易變形。
黑金玻璃面配備金色銅合金爐頭環，而白色玻璃則配表鍍鉻銅合金，燃燒時不易變黑，爐底溫度特低，不會燙手。</v>
          </cell>
        </row>
        <row r="9">
          <cell r="A9" t="str">
            <v>RB2E</v>
          </cell>
          <cell r="B9" t="str">
            <v>停售</v>
          </cell>
          <cell r="E9" t="str">
            <v>Rinnai</v>
          </cell>
          <cell r="F9" t="str">
            <v>RB2EA/B</v>
          </cell>
          <cell r="K9" t="str">
            <v>1997年9月底</v>
          </cell>
          <cell r="L9" t="str">
            <v>2008年2月2日</v>
          </cell>
          <cell r="M9" t="str">
            <v>印尼</v>
          </cell>
          <cell r="N9" t="str">
            <v>已停售</v>
          </cell>
          <cell r="O9" t="str">
            <v>請按此處</v>
          </cell>
          <cell r="P9">
            <v>55</v>
          </cell>
          <cell r="Q9">
            <v>2.1653543307086616</v>
          </cell>
          <cell r="R9">
            <v>75</v>
          </cell>
          <cell r="S9">
            <v>2.9527559055118111</v>
          </cell>
          <cell r="T9">
            <v>115</v>
          </cell>
          <cell r="U9">
            <v>4.5275590551181102</v>
          </cell>
          <cell r="V9">
            <v>710</v>
          </cell>
          <cell r="W9">
            <v>27.952755905511811</v>
          </cell>
          <cell r="X9">
            <v>420</v>
          </cell>
          <cell r="Y9">
            <v>16.535433070866144</v>
          </cell>
          <cell r="Z9">
            <v>400</v>
          </cell>
          <cell r="AA9">
            <v>15.748031496062993</v>
          </cell>
          <cell r="AC9" t="str">
            <v>670 x 350 (26.4" x 13.8")</v>
          </cell>
          <cell r="AD9">
            <v>2</v>
          </cell>
          <cell r="AE9" t="str">
            <v>左</v>
          </cell>
          <cell r="AF9" t="str">
            <v>右</v>
          </cell>
          <cell r="AJ9">
            <v>15.48</v>
          </cell>
          <cell r="AK9">
            <v>10.08</v>
          </cell>
          <cell r="AL9">
            <v>0</v>
          </cell>
          <cell r="AM9">
            <v>0</v>
          </cell>
          <cell r="AN9">
            <v>0</v>
          </cell>
          <cell r="AO9">
            <v>0</v>
          </cell>
          <cell r="AP9">
            <v>0</v>
          </cell>
          <cell r="AQ9">
            <v>0</v>
          </cell>
          <cell r="AR9">
            <v>0</v>
          </cell>
          <cell r="AS9">
            <v>0</v>
          </cell>
          <cell r="AT9">
            <v>4.3</v>
          </cell>
          <cell r="AU9">
            <v>2.8</v>
          </cell>
          <cell r="BD9">
            <v>14688.617021239999</v>
          </cell>
          <cell r="BE9">
            <v>9564.6808510399987</v>
          </cell>
          <cell r="BF9">
            <v>0</v>
          </cell>
          <cell r="BG9">
            <v>0</v>
          </cell>
          <cell r="BH9">
            <v>0</v>
          </cell>
          <cell r="BI9">
            <v>0</v>
          </cell>
          <cell r="BJ9">
            <v>0</v>
          </cell>
          <cell r="BK9">
            <v>0</v>
          </cell>
          <cell r="BL9">
            <v>0</v>
          </cell>
          <cell r="BM9">
            <v>0</v>
          </cell>
          <cell r="BN9">
            <v>4.0402800000000001</v>
          </cell>
          <cell r="BO9">
            <v>2.6308800000000003</v>
          </cell>
          <cell r="BP9">
            <v>0</v>
          </cell>
          <cell r="BQ9">
            <v>0</v>
          </cell>
          <cell r="BR9">
            <v>0</v>
          </cell>
          <cell r="BS9">
            <v>0</v>
          </cell>
          <cell r="BT9">
            <v>0</v>
          </cell>
          <cell r="BU9">
            <v>0</v>
          </cell>
          <cell r="BV9">
            <v>0</v>
          </cell>
          <cell r="BW9">
            <v>0</v>
          </cell>
          <cell r="BX9" t="str">
            <v>不可以</v>
          </cell>
          <cell r="BY9" t="str">
            <v>不可以</v>
          </cell>
          <cell r="CD9" t="str">
            <v>220V</v>
          </cell>
          <cell r="CE9" t="str">
            <v>兩枚D型1.5V</v>
          </cell>
          <cell r="CF9" t="str">
            <v>資料不詳</v>
          </cell>
          <cell r="CG9" t="str">
            <v>白色搪瓷
灰色搪瓷
不銹鋼</v>
          </cell>
          <cell r="CH9" t="str">
            <v>旋鈕式</v>
          </cell>
          <cell r="CI9" t="str">
            <v>旋鈕式</v>
          </cell>
          <cell r="CJ9" t="str">
            <v>雙環</v>
          </cell>
          <cell r="CK9" t="str">
            <v>雙環</v>
          </cell>
          <cell r="CL9" t="str">
            <v>不適用</v>
          </cell>
          <cell r="CM9" t="str">
            <v>不適用</v>
          </cell>
          <cell r="CN9" t="str">
            <v>不適用</v>
          </cell>
          <cell r="CO9" t="str">
            <v>不適用</v>
          </cell>
          <cell r="CP9" t="str">
            <v>不適用</v>
          </cell>
          <cell r="CQ9" t="str">
            <v>不適用</v>
          </cell>
          <cell r="CR9" t="str">
            <v>長形連架</v>
          </cell>
          <cell r="CS9" t="str">
            <v>請按此處</v>
          </cell>
          <cell r="CT9" t="str">
            <v>不適用</v>
          </cell>
          <cell r="CU9" t="str">
            <v>不適用</v>
          </cell>
          <cell r="CV9">
            <v>8</v>
          </cell>
          <cell r="CW9">
            <v>17.600000000000001</v>
          </cell>
          <cell r="CX9"/>
        </row>
        <row r="10">
          <cell r="A10" t="str">
            <v>Mini tb2m</v>
          </cell>
          <cell r="B10" t="str">
            <v>停售</v>
          </cell>
          <cell r="E10" t="str">
            <v>Tecnogas</v>
          </cell>
          <cell r="F10" t="str">
            <v>MiniTB2MCW/S</v>
          </cell>
          <cell r="K10" t="str">
            <v>資料不詳</v>
          </cell>
          <cell r="L10" t="str">
            <v>資料不詳</v>
          </cell>
          <cell r="M10" t="str">
            <v>意大利</v>
          </cell>
          <cell r="N10" t="str">
            <v>已停售</v>
          </cell>
          <cell r="O10" t="str">
            <v>請按此處</v>
          </cell>
          <cell r="Q10">
            <v>0</v>
          </cell>
          <cell r="R10">
            <v>55</v>
          </cell>
          <cell r="S10">
            <v>2.1653543307086616</v>
          </cell>
          <cell r="U10">
            <v>0</v>
          </cell>
          <cell r="V10">
            <v>730</v>
          </cell>
          <cell r="W10">
            <v>28.740157480314963</v>
          </cell>
          <cell r="X10">
            <v>430</v>
          </cell>
          <cell r="Y10">
            <v>16.929133858267718</v>
          </cell>
          <cell r="Z10">
            <v>460</v>
          </cell>
          <cell r="AA10">
            <v>18.110236220472441</v>
          </cell>
          <cell r="AC10" t="str">
            <v>703 x 403 (R116) (27.7" x 15.9")</v>
          </cell>
          <cell r="AD10">
            <v>2</v>
          </cell>
          <cell r="AE10" t="str">
            <v>左</v>
          </cell>
          <cell r="AF10" t="str">
            <v>右</v>
          </cell>
          <cell r="AJ10">
            <v>14.4</v>
          </cell>
          <cell r="AK10">
            <v>7.2</v>
          </cell>
          <cell r="AL10">
            <v>0</v>
          </cell>
          <cell r="AM10">
            <v>0</v>
          </cell>
          <cell r="AN10">
            <v>0</v>
          </cell>
          <cell r="AO10">
            <v>0</v>
          </cell>
          <cell r="AP10">
            <v>0</v>
          </cell>
          <cell r="AQ10">
            <v>0</v>
          </cell>
          <cell r="AR10">
            <v>0</v>
          </cell>
          <cell r="AS10">
            <v>0</v>
          </cell>
          <cell r="AT10">
            <v>4</v>
          </cell>
          <cell r="AU10">
            <v>2</v>
          </cell>
          <cell r="BD10">
            <v>13663.8297872</v>
          </cell>
          <cell r="BE10">
            <v>6831.9148936000001</v>
          </cell>
          <cell r="BF10">
            <v>0</v>
          </cell>
          <cell r="BG10">
            <v>0</v>
          </cell>
          <cell r="BH10">
            <v>0</v>
          </cell>
          <cell r="BI10">
            <v>0</v>
          </cell>
          <cell r="BJ10">
            <v>0</v>
          </cell>
          <cell r="BK10">
            <v>0</v>
          </cell>
          <cell r="BL10">
            <v>0</v>
          </cell>
          <cell r="BM10">
            <v>0</v>
          </cell>
          <cell r="BN10">
            <v>3.7584000000000004</v>
          </cell>
          <cell r="BO10">
            <v>1.8792000000000002</v>
          </cell>
          <cell r="BP10">
            <v>0</v>
          </cell>
          <cell r="BQ10">
            <v>0</v>
          </cell>
          <cell r="BR10">
            <v>0</v>
          </cell>
          <cell r="BS10">
            <v>0</v>
          </cell>
          <cell r="BT10">
            <v>0</v>
          </cell>
          <cell r="BU10">
            <v>0</v>
          </cell>
          <cell r="BV10">
            <v>0</v>
          </cell>
          <cell r="BW10">
            <v>0</v>
          </cell>
          <cell r="BX10" t="str">
            <v>不可以</v>
          </cell>
          <cell r="BY10" t="str">
            <v>不可以</v>
          </cell>
          <cell r="CD10" t="str">
            <v>220V,13A</v>
          </cell>
          <cell r="CE10" t="str">
            <v>不適用</v>
          </cell>
          <cell r="CF10" t="str">
            <v>不適用</v>
          </cell>
          <cell r="CG10" t="str">
            <v>白色搪瓷</v>
          </cell>
          <cell r="CH10" t="str">
            <v>旋鈕式</v>
          </cell>
          <cell r="CI10" t="str">
            <v>旋鈕式</v>
          </cell>
          <cell r="CJ10" t="str">
            <v>三環</v>
          </cell>
          <cell r="CK10" t="str">
            <v>單環</v>
          </cell>
          <cell r="CL10" t="str">
            <v>不適用</v>
          </cell>
          <cell r="CM10" t="str">
            <v>不適用</v>
          </cell>
          <cell r="CN10" t="str">
            <v>不適用</v>
          </cell>
          <cell r="CO10" t="str">
            <v>不適用</v>
          </cell>
          <cell r="CP10" t="str">
            <v>不適用</v>
          </cell>
          <cell r="CQ10" t="str">
            <v>不適用</v>
          </cell>
          <cell r="CR10" t="str">
            <v>方形圓角六邊承托架</v>
          </cell>
          <cell r="CS10" t="str">
            <v>不適用</v>
          </cell>
          <cell r="CT10" t="str">
            <v>不適用</v>
          </cell>
          <cell r="CU10" t="str">
            <v>不適用</v>
          </cell>
          <cell r="CV10">
            <v>8.6</v>
          </cell>
          <cell r="CW10">
            <v>18.920000000000002</v>
          </cell>
          <cell r="CX10"/>
        </row>
        <row r="11">
          <cell r="A11" t="str">
            <v>TB2M</v>
          </cell>
          <cell r="B11" t="str">
            <v>停售</v>
          </cell>
          <cell r="E11" t="str">
            <v>Tecnogas</v>
          </cell>
          <cell r="F11" t="str">
            <v>TB2M</v>
          </cell>
          <cell r="K11" t="str">
            <v>資料不詳</v>
          </cell>
          <cell r="L11" t="str">
            <v>資料不詳</v>
          </cell>
          <cell r="M11" t="str">
            <v>意大利</v>
          </cell>
          <cell r="N11" t="str">
            <v>已停售</v>
          </cell>
          <cell r="O11" t="str">
            <v>請按此處</v>
          </cell>
          <cell r="P11">
            <v>47</v>
          </cell>
          <cell r="Q11">
            <v>1.8503937007874016</v>
          </cell>
          <cell r="R11">
            <v>55</v>
          </cell>
          <cell r="S11">
            <v>2.1653543307086616</v>
          </cell>
          <cell r="U11">
            <v>0</v>
          </cell>
          <cell r="V11">
            <v>730</v>
          </cell>
          <cell r="W11">
            <v>28.740157480314963</v>
          </cell>
          <cell r="X11">
            <v>430</v>
          </cell>
          <cell r="Y11">
            <v>16.929133858267718</v>
          </cell>
          <cell r="Z11">
            <v>460</v>
          </cell>
          <cell r="AA11">
            <v>18.110236220472441</v>
          </cell>
          <cell r="AC11" t="str">
            <v>703 x 403 (27.7" x 15.9")</v>
          </cell>
          <cell r="AD11">
            <v>2</v>
          </cell>
          <cell r="AE11" t="str">
            <v>左</v>
          </cell>
          <cell r="AF11" t="str">
            <v>右</v>
          </cell>
          <cell r="AJ11">
            <v>14.4</v>
          </cell>
          <cell r="AK11">
            <v>7.2</v>
          </cell>
          <cell r="AL11">
            <v>0</v>
          </cell>
          <cell r="AM11">
            <v>0</v>
          </cell>
          <cell r="AN11">
            <v>0</v>
          </cell>
          <cell r="AO11">
            <v>0</v>
          </cell>
          <cell r="AP11">
            <v>0</v>
          </cell>
          <cell r="AQ11">
            <v>0</v>
          </cell>
          <cell r="AR11">
            <v>0</v>
          </cell>
          <cell r="AS11">
            <v>0</v>
          </cell>
          <cell r="AT11">
            <v>4</v>
          </cell>
          <cell r="AU11">
            <v>2</v>
          </cell>
          <cell r="BD11">
            <v>13663.8297872</v>
          </cell>
          <cell r="BE11">
            <v>6831.9148936000001</v>
          </cell>
          <cell r="BF11">
            <v>0</v>
          </cell>
          <cell r="BG11">
            <v>0</v>
          </cell>
          <cell r="BH11">
            <v>0</v>
          </cell>
          <cell r="BI11">
            <v>0</v>
          </cell>
          <cell r="BJ11">
            <v>0</v>
          </cell>
          <cell r="BK11">
            <v>0</v>
          </cell>
          <cell r="BL11">
            <v>0</v>
          </cell>
          <cell r="BM11">
            <v>0</v>
          </cell>
          <cell r="BN11">
            <v>3.7584000000000004</v>
          </cell>
          <cell r="BO11">
            <v>1.8792000000000002</v>
          </cell>
          <cell r="BP11">
            <v>0</v>
          </cell>
          <cell r="BQ11">
            <v>0</v>
          </cell>
          <cell r="BR11">
            <v>0</v>
          </cell>
          <cell r="BS11">
            <v>0</v>
          </cell>
          <cell r="BT11">
            <v>0</v>
          </cell>
          <cell r="BU11">
            <v>0</v>
          </cell>
          <cell r="BV11">
            <v>0</v>
          </cell>
          <cell r="BW11">
            <v>0</v>
          </cell>
          <cell r="BX11" t="str">
            <v>不可以</v>
          </cell>
          <cell r="BY11" t="str">
            <v>不可以</v>
          </cell>
          <cell r="CD11" t="str">
            <v>220V,13A</v>
          </cell>
          <cell r="CE11" t="str">
            <v>不適用</v>
          </cell>
          <cell r="CF11" t="str">
            <v>不適用</v>
          </cell>
          <cell r="CG11" t="str">
            <v>白色搪瓷
不銹鋼</v>
          </cell>
          <cell r="CH11" t="str">
            <v>旋鈕式</v>
          </cell>
          <cell r="CI11" t="str">
            <v>旋鈕式</v>
          </cell>
          <cell r="CR11" t="str">
            <v>長形特大爐架</v>
          </cell>
          <cell r="CS11" t="str">
            <v>不適用</v>
          </cell>
          <cell r="CT11" t="str">
            <v>不適用</v>
          </cell>
          <cell r="CU11" t="str">
            <v>不適用</v>
          </cell>
          <cell r="CV11">
            <v>8.6</v>
          </cell>
          <cell r="CW11">
            <v>18.920000000000002</v>
          </cell>
          <cell r="CX11"/>
        </row>
        <row r="12">
          <cell r="A12" t="str">
            <v>Mini 2SVW</v>
          </cell>
          <cell r="B12" t="str">
            <v>停售</v>
          </cell>
          <cell r="E12" t="str">
            <v>Tecnogas</v>
          </cell>
          <cell r="F12" t="str">
            <v>Mini 2SVW</v>
          </cell>
          <cell r="K12" t="str">
            <v>資料不詳</v>
          </cell>
          <cell r="L12" t="str">
            <v>資料不詳</v>
          </cell>
          <cell r="M12" t="str">
            <v>意大利</v>
          </cell>
          <cell r="N12" t="str">
            <v>已停售</v>
          </cell>
          <cell r="O12" t="str">
            <v>請按此處</v>
          </cell>
          <cell r="P12">
            <v>47</v>
          </cell>
          <cell r="Q12">
            <v>1.8503937007874016</v>
          </cell>
          <cell r="R12">
            <v>55</v>
          </cell>
          <cell r="S12">
            <v>2.1653543307086616</v>
          </cell>
          <cell r="U12">
            <v>0</v>
          </cell>
          <cell r="V12">
            <v>730</v>
          </cell>
          <cell r="W12">
            <v>28.740157480314963</v>
          </cell>
          <cell r="X12">
            <v>430</v>
          </cell>
          <cell r="Y12">
            <v>16.929133858267718</v>
          </cell>
          <cell r="Z12">
            <v>460</v>
          </cell>
          <cell r="AA12">
            <v>18.110236220472441</v>
          </cell>
          <cell r="AC12" t="str">
            <v>703 x 403 (R116) (27.7" x 15.9")</v>
          </cell>
          <cell r="AD12">
            <v>2</v>
          </cell>
          <cell r="AE12" t="str">
            <v>左</v>
          </cell>
          <cell r="AF12" t="str">
            <v>右</v>
          </cell>
          <cell r="AJ12">
            <v>12.6</v>
          </cell>
          <cell r="AK12">
            <v>7.2</v>
          </cell>
          <cell r="AL12">
            <v>0</v>
          </cell>
          <cell r="AM12">
            <v>0</v>
          </cell>
          <cell r="AN12">
            <v>0</v>
          </cell>
          <cell r="AO12">
            <v>0</v>
          </cell>
          <cell r="AP12">
            <v>0</v>
          </cell>
          <cell r="AQ12">
            <v>0</v>
          </cell>
          <cell r="AR12">
            <v>0</v>
          </cell>
          <cell r="AS12">
            <v>0</v>
          </cell>
          <cell r="AT12">
            <v>3.5</v>
          </cell>
          <cell r="AU12">
            <v>2</v>
          </cell>
          <cell r="BD12">
            <v>11955.851063800001</v>
          </cell>
          <cell r="BE12">
            <v>6831.9148936000001</v>
          </cell>
          <cell r="BF12">
            <v>0</v>
          </cell>
          <cell r="BG12">
            <v>0</v>
          </cell>
          <cell r="BH12">
            <v>0</v>
          </cell>
          <cell r="BI12">
            <v>0</v>
          </cell>
          <cell r="BJ12">
            <v>0</v>
          </cell>
          <cell r="BK12">
            <v>0</v>
          </cell>
          <cell r="BL12">
            <v>0</v>
          </cell>
          <cell r="BM12">
            <v>0</v>
          </cell>
          <cell r="BN12">
            <v>3.2886000000000002</v>
          </cell>
          <cell r="BO12">
            <v>1.8792000000000002</v>
          </cell>
          <cell r="BP12">
            <v>0</v>
          </cell>
          <cell r="BQ12">
            <v>0</v>
          </cell>
          <cell r="BR12">
            <v>0</v>
          </cell>
          <cell r="BS12">
            <v>0</v>
          </cell>
          <cell r="BT12">
            <v>0</v>
          </cell>
          <cell r="BU12">
            <v>0</v>
          </cell>
          <cell r="BV12">
            <v>0</v>
          </cell>
          <cell r="BW12">
            <v>0</v>
          </cell>
          <cell r="BX12" t="str">
            <v>不可以</v>
          </cell>
          <cell r="BY12" t="str">
            <v>不可以</v>
          </cell>
          <cell r="CC12" t="str">
            <v>大圓邊流線型爐角</v>
          </cell>
          <cell r="CD12" t="str">
            <v>220V,13A</v>
          </cell>
          <cell r="CE12" t="str">
            <v>不適用</v>
          </cell>
          <cell r="CF12" t="str">
            <v>不適用</v>
          </cell>
          <cell r="CG12" t="str">
            <v>白色搪瓷</v>
          </cell>
          <cell r="CH12" t="str">
            <v>旋鈕式</v>
          </cell>
          <cell r="CI12" t="str">
            <v>旋鈕式</v>
          </cell>
          <cell r="CJ12" t="str">
            <v>雙環</v>
          </cell>
          <cell r="CK12" t="str">
            <v>單環</v>
          </cell>
          <cell r="CL12" t="str">
            <v>不適用</v>
          </cell>
          <cell r="CM12" t="str">
            <v>不適用</v>
          </cell>
          <cell r="CN12" t="str">
            <v>不適用</v>
          </cell>
          <cell r="CO12" t="str">
            <v>不適用</v>
          </cell>
          <cell r="CP12" t="str">
            <v>不適用</v>
          </cell>
          <cell r="CQ12" t="str">
            <v>不適用</v>
          </cell>
          <cell r="CR12" t="str">
            <v>方形圓角六邊承托架</v>
          </cell>
          <cell r="CS12" t="str">
            <v>不適用</v>
          </cell>
          <cell r="CT12" t="str">
            <v>不適用</v>
          </cell>
          <cell r="CU12" t="str">
            <v>不適用</v>
          </cell>
          <cell r="CV12">
            <v>8.6</v>
          </cell>
          <cell r="CW12">
            <v>18.920000000000002</v>
          </cell>
          <cell r="CX12"/>
        </row>
        <row r="13">
          <cell r="A13" t="str">
            <v>TB2G</v>
          </cell>
          <cell r="B13" t="str">
            <v>停售</v>
          </cell>
          <cell r="E13" t="str">
            <v>Tecnogas</v>
          </cell>
          <cell r="F13" t="str">
            <v>TB2G</v>
          </cell>
          <cell r="K13" t="str">
            <v>2000年3月7日</v>
          </cell>
          <cell r="L13" t="str">
            <v>2007年9月1日</v>
          </cell>
          <cell r="M13" t="str">
            <v>意大利</v>
          </cell>
          <cell r="N13" t="str">
            <v>已停售</v>
          </cell>
          <cell r="O13" t="str">
            <v>請按此處</v>
          </cell>
          <cell r="P13">
            <v>47</v>
          </cell>
          <cell r="Q13">
            <v>1.8503937007874016</v>
          </cell>
          <cell r="R13">
            <v>55</v>
          </cell>
          <cell r="S13">
            <v>2.1653543307086616</v>
          </cell>
          <cell r="U13">
            <v>0</v>
          </cell>
          <cell r="V13">
            <v>780</v>
          </cell>
          <cell r="W13">
            <v>30.708661417322837</v>
          </cell>
          <cell r="X13">
            <v>480</v>
          </cell>
          <cell r="Y13">
            <v>18.897637795275593</v>
          </cell>
          <cell r="Z13">
            <v>460</v>
          </cell>
          <cell r="AA13">
            <v>18.110236220472441</v>
          </cell>
          <cell r="AC13" t="str">
            <v>703 x 403 (27.7" x 15.9")</v>
          </cell>
          <cell r="AD13">
            <v>2</v>
          </cell>
          <cell r="AE13" t="str">
            <v>左</v>
          </cell>
          <cell r="AF13" t="str">
            <v>右</v>
          </cell>
          <cell r="AJ13">
            <v>7.2</v>
          </cell>
          <cell r="AK13">
            <v>14.4</v>
          </cell>
          <cell r="AL13">
            <v>0</v>
          </cell>
          <cell r="AM13">
            <v>0</v>
          </cell>
          <cell r="AN13">
            <v>0</v>
          </cell>
          <cell r="AO13">
            <v>3.24</v>
          </cell>
          <cell r="AP13">
            <v>3.6</v>
          </cell>
          <cell r="AQ13">
            <v>0</v>
          </cell>
          <cell r="AR13">
            <v>0</v>
          </cell>
          <cell r="AS13">
            <v>0</v>
          </cell>
          <cell r="AT13">
            <v>2</v>
          </cell>
          <cell r="AU13">
            <v>4</v>
          </cell>
          <cell r="AY13">
            <v>0.9</v>
          </cell>
          <cell r="AZ13">
            <v>1</v>
          </cell>
          <cell r="BD13">
            <v>6831.9148936000001</v>
          </cell>
          <cell r="BE13">
            <v>13663.8297872</v>
          </cell>
          <cell r="BF13">
            <v>0</v>
          </cell>
          <cell r="BG13">
            <v>0</v>
          </cell>
          <cell r="BH13">
            <v>0</v>
          </cell>
          <cell r="BI13">
            <v>3074.3617021200002</v>
          </cell>
          <cell r="BJ13">
            <v>3415.9574468000001</v>
          </cell>
          <cell r="BK13">
            <v>0</v>
          </cell>
          <cell r="BL13">
            <v>0</v>
          </cell>
          <cell r="BM13">
            <v>0</v>
          </cell>
          <cell r="BN13">
            <v>1.8792000000000002</v>
          </cell>
          <cell r="BO13">
            <v>3.7584000000000004</v>
          </cell>
          <cell r="BP13">
            <v>0</v>
          </cell>
          <cell r="BQ13">
            <v>0</v>
          </cell>
          <cell r="BR13">
            <v>0</v>
          </cell>
          <cell r="BS13">
            <v>0.84564000000000006</v>
          </cell>
          <cell r="BT13">
            <v>0.9396000000000001</v>
          </cell>
          <cell r="BU13">
            <v>0</v>
          </cell>
          <cell r="BV13">
            <v>0</v>
          </cell>
          <cell r="BW13">
            <v>0</v>
          </cell>
          <cell r="BX13" t="str">
            <v>不可以</v>
          </cell>
          <cell r="BY13" t="str">
            <v>不可以</v>
          </cell>
          <cell r="CD13" t="str">
            <v>不適用</v>
          </cell>
          <cell r="CE13" t="str">
            <v>一枚AA型1.5V</v>
          </cell>
          <cell r="CF13" t="str">
            <v>資料不詳</v>
          </cell>
          <cell r="CG13" t="str">
            <v>黑色強化玻璃
白色強化玻璃</v>
          </cell>
          <cell r="CH13" t="str">
            <v>旋鈕式</v>
          </cell>
          <cell r="CI13" t="str">
            <v>旋鈕式</v>
          </cell>
          <cell r="CJ13" t="str">
            <v>三環</v>
          </cell>
          <cell r="CK13" t="str">
            <v>雙環</v>
          </cell>
          <cell r="CL13" t="str">
            <v>不適用</v>
          </cell>
          <cell r="CM13" t="str">
            <v>不適用</v>
          </cell>
          <cell r="CN13" t="str">
            <v>不適用</v>
          </cell>
          <cell r="CO13" t="str">
            <v>不適用</v>
          </cell>
          <cell r="CP13" t="str">
            <v>不適用</v>
          </cell>
          <cell r="CQ13" t="str">
            <v>不適用</v>
          </cell>
          <cell r="CR13" t="str">
            <v>圓形四邊承托架</v>
          </cell>
          <cell r="CS13" t="str">
            <v>請按此處</v>
          </cell>
          <cell r="CT13" t="str">
            <v>不適用</v>
          </cell>
          <cell r="CU13" t="str">
            <v>不適用</v>
          </cell>
          <cell r="CV13">
            <v>13.5</v>
          </cell>
          <cell r="CW13">
            <v>29.700000000000003</v>
          </cell>
          <cell r="CX13"/>
        </row>
        <row r="14">
          <cell r="A14" t="str">
            <v>RB2NB</v>
          </cell>
          <cell r="B14" t="str">
            <v>停售</v>
          </cell>
          <cell r="E14" t="str">
            <v>TGC</v>
          </cell>
          <cell r="F14" t="str">
            <v>RB2NB</v>
          </cell>
          <cell r="I14" t="str">
            <v>操作資料</v>
          </cell>
          <cell r="K14" t="str">
            <v>2002年3月28日</v>
          </cell>
          <cell r="L14" t="str">
            <v>資料不詳</v>
          </cell>
          <cell r="M14" t="str">
            <v>日本</v>
          </cell>
          <cell r="N14" t="str">
            <v>已停售</v>
          </cell>
          <cell r="O14" t="str">
            <v>請按此處</v>
          </cell>
          <cell r="P14">
            <v>65</v>
          </cell>
          <cell r="Q14">
            <v>2.5590551181102366</v>
          </cell>
          <cell r="R14">
            <v>85</v>
          </cell>
          <cell r="S14">
            <v>3.3464566929133861</v>
          </cell>
          <cell r="T14">
            <v>143</v>
          </cell>
          <cell r="U14">
            <v>5.6299212598425203</v>
          </cell>
          <cell r="V14">
            <v>757</v>
          </cell>
          <cell r="W14">
            <v>29.803149606299215</v>
          </cell>
          <cell r="X14">
            <v>472</v>
          </cell>
          <cell r="Y14">
            <v>18.582677165354333</v>
          </cell>
          <cell r="Z14">
            <v>470</v>
          </cell>
          <cell r="AA14">
            <v>18.503937007874018</v>
          </cell>
          <cell r="AC14" t="str">
            <v>703 x 403 (27.7" x 15.9")</v>
          </cell>
          <cell r="AD14">
            <v>2</v>
          </cell>
          <cell r="AE14" t="str">
            <v>左</v>
          </cell>
          <cell r="AF14" t="str">
            <v>右</v>
          </cell>
          <cell r="AJ14">
            <v>17.28</v>
          </cell>
          <cell r="AK14">
            <v>17.28</v>
          </cell>
          <cell r="AL14">
            <v>0</v>
          </cell>
          <cell r="AM14">
            <v>0</v>
          </cell>
          <cell r="AN14">
            <v>0</v>
          </cell>
          <cell r="AO14">
            <v>1.2240000000000002</v>
          </cell>
          <cell r="AP14">
            <v>1.2240000000000002</v>
          </cell>
          <cell r="AQ14">
            <v>0</v>
          </cell>
          <cell r="AR14">
            <v>0</v>
          </cell>
          <cell r="AS14">
            <v>0</v>
          </cell>
          <cell r="AT14">
            <v>4.8</v>
          </cell>
          <cell r="AU14">
            <v>4.8</v>
          </cell>
          <cell r="AY14">
            <v>0.34</v>
          </cell>
          <cell r="AZ14">
            <v>0.34</v>
          </cell>
          <cell r="BD14">
            <v>16396.595744639999</v>
          </cell>
          <cell r="BE14">
            <v>16396.595744639999</v>
          </cell>
          <cell r="BF14">
            <v>0</v>
          </cell>
          <cell r="BG14">
            <v>0</v>
          </cell>
          <cell r="BH14">
            <v>0</v>
          </cell>
          <cell r="BI14">
            <v>1161.425531912</v>
          </cell>
          <cell r="BJ14">
            <v>1161.425531912</v>
          </cell>
          <cell r="BK14">
            <v>0</v>
          </cell>
          <cell r="BL14">
            <v>0</v>
          </cell>
          <cell r="BM14">
            <v>0</v>
          </cell>
          <cell r="BN14">
            <v>4.5100800000000003</v>
          </cell>
          <cell r="BO14">
            <v>4.5100800000000003</v>
          </cell>
          <cell r="BP14">
            <v>0</v>
          </cell>
          <cell r="BQ14">
            <v>0</v>
          </cell>
          <cell r="BR14">
            <v>0</v>
          </cell>
          <cell r="BS14">
            <v>0.31946400000000008</v>
          </cell>
          <cell r="BT14">
            <v>0.31946400000000008</v>
          </cell>
          <cell r="BU14">
            <v>0</v>
          </cell>
          <cell r="BV14">
            <v>0</v>
          </cell>
          <cell r="BW14">
            <v>0</v>
          </cell>
          <cell r="BX14" t="str">
            <v>可以</v>
          </cell>
          <cell r="BY14" t="str">
            <v>可以</v>
          </cell>
          <cell r="CC14" t="str">
            <v>特大火力比起一般市面的嵌入式爐頭更適合講究鑊氣的中式烹飪</v>
          </cell>
          <cell r="CD14" t="str">
            <v>不適用</v>
          </cell>
          <cell r="CE14" t="str">
            <v>兩枚D型1.5V</v>
          </cell>
          <cell r="CF14" t="str">
            <v>爐底中央</v>
          </cell>
          <cell r="CG14" t="str">
            <v>金色易潔面
銀色易潔面</v>
          </cell>
          <cell r="CH14" t="str">
            <v>旋鈕式</v>
          </cell>
          <cell r="CI14" t="str">
            <v>旋鈕式</v>
          </cell>
          <cell r="CJ14" t="str">
            <v>雙環</v>
          </cell>
          <cell r="CK14" t="str">
            <v>不適用</v>
          </cell>
          <cell r="CL14" t="str">
            <v>不適用</v>
          </cell>
          <cell r="CM14" t="str">
            <v>不適用</v>
          </cell>
          <cell r="CN14" t="str">
            <v>不適用</v>
          </cell>
          <cell r="CO14" t="str">
            <v>不適用</v>
          </cell>
          <cell r="CP14" t="str">
            <v>不適用</v>
          </cell>
          <cell r="CQ14" t="str">
            <v>不適用</v>
          </cell>
          <cell r="CR14" t="str">
            <v>圓形五邊承托架</v>
          </cell>
          <cell r="CS14" t="str">
            <v>請按此處</v>
          </cell>
          <cell r="CT14" t="str">
            <v>不適用</v>
          </cell>
          <cell r="CU14" t="str">
            <v>請按此處</v>
          </cell>
          <cell r="CV14">
            <v>12</v>
          </cell>
          <cell r="CW14">
            <v>26.400000000000002</v>
          </cell>
          <cell r="CX14"/>
        </row>
        <row r="15">
          <cell r="A15" t="str">
            <v>RB2FB</v>
          </cell>
          <cell r="B15" t="str">
            <v>停售</v>
          </cell>
          <cell r="E15" t="str">
            <v>TGC</v>
          </cell>
          <cell r="F15" t="str">
            <v>RB2FB</v>
          </cell>
          <cell r="K15" t="str">
            <v>2002年4月18日</v>
          </cell>
          <cell r="L15" t="str">
            <v>2007年10月29日</v>
          </cell>
          <cell r="M15" t="str">
            <v>台灣</v>
          </cell>
          <cell r="N15" t="str">
            <v>已停售</v>
          </cell>
          <cell r="O15" t="str">
            <v>請按此處</v>
          </cell>
          <cell r="P15">
            <v>55</v>
          </cell>
          <cell r="Q15">
            <v>2.1653543307086616</v>
          </cell>
          <cell r="R15">
            <v>63</v>
          </cell>
          <cell r="S15">
            <v>2.4803149606299213</v>
          </cell>
          <cell r="U15">
            <v>0</v>
          </cell>
          <cell r="V15">
            <v>750</v>
          </cell>
          <cell r="W15">
            <v>29.527559055118111</v>
          </cell>
          <cell r="X15">
            <v>450</v>
          </cell>
          <cell r="Y15">
            <v>17.716535433070867</v>
          </cell>
          <cell r="Z15">
            <v>400</v>
          </cell>
          <cell r="AA15">
            <v>15.748031496062993</v>
          </cell>
          <cell r="AC15" t="str">
            <v>670 x 350 (26.4" x 13.8")</v>
          </cell>
          <cell r="AD15">
            <v>2</v>
          </cell>
          <cell r="AE15" t="str">
            <v>左</v>
          </cell>
          <cell r="AF15" t="str">
            <v>右</v>
          </cell>
          <cell r="AJ15">
            <v>17.28</v>
          </cell>
          <cell r="AK15">
            <v>17.28</v>
          </cell>
          <cell r="AL15">
            <v>0</v>
          </cell>
          <cell r="AM15">
            <v>0</v>
          </cell>
          <cell r="AN15">
            <v>0</v>
          </cell>
          <cell r="AO15">
            <v>0</v>
          </cell>
          <cell r="AP15">
            <v>0</v>
          </cell>
          <cell r="AQ15">
            <v>0</v>
          </cell>
          <cell r="AR15">
            <v>0</v>
          </cell>
          <cell r="AS15">
            <v>0</v>
          </cell>
          <cell r="AT15">
            <v>4.8</v>
          </cell>
          <cell r="AU15">
            <v>4.8</v>
          </cell>
          <cell r="BD15">
            <v>16396.595744639999</v>
          </cell>
          <cell r="BE15">
            <v>16396.595744639999</v>
          </cell>
          <cell r="BF15">
            <v>0</v>
          </cell>
          <cell r="BG15">
            <v>0</v>
          </cell>
          <cell r="BH15">
            <v>0</v>
          </cell>
          <cell r="BI15">
            <v>0</v>
          </cell>
          <cell r="BJ15">
            <v>0</v>
          </cell>
          <cell r="BK15">
            <v>0</v>
          </cell>
          <cell r="BL15">
            <v>0</v>
          </cell>
          <cell r="BM15">
            <v>0</v>
          </cell>
          <cell r="BN15">
            <v>4.5100800000000003</v>
          </cell>
          <cell r="BO15">
            <v>4.5100800000000003</v>
          </cell>
          <cell r="BP15">
            <v>0</v>
          </cell>
          <cell r="BQ15">
            <v>0</v>
          </cell>
          <cell r="BR15">
            <v>0</v>
          </cell>
          <cell r="BS15">
            <v>0</v>
          </cell>
          <cell r="BT15">
            <v>0</v>
          </cell>
          <cell r="BU15">
            <v>0</v>
          </cell>
          <cell r="BV15">
            <v>0</v>
          </cell>
          <cell r="BW15">
            <v>0</v>
          </cell>
          <cell r="BX15" t="str">
            <v>不可以</v>
          </cell>
          <cell r="BY15" t="str">
            <v>不可以</v>
          </cell>
          <cell r="CC15" t="str">
            <v>特大火力比起一般市面的嵌入式爐頭更適合講究鑊氣的中式烹飪</v>
          </cell>
          <cell r="CD15" t="str">
            <v>不適用</v>
          </cell>
          <cell r="CE15" t="str">
            <v>一枚D型1.5V</v>
          </cell>
          <cell r="CF15" t="str">
            <v>爐底右後方</v>
          </cell>
          <cell r="CG15" t="str">
            <v>金色易潔面
銀色易潔面</v>
          </cell>
          <cell r="CH15" t="str">
            <v>旋鈕式</v>
          </cell>
          <cell r="CI15" t="str">
            <v>旋鈕式</v>
          </cell>
          <cell r="CJ15" t="str">
            <v>雙環</v>
          </cell>
          <cell r="CK15" t="str">
            <v>不適用</v>
          </cell>
          <cell r="CL15" t="str">
            <v>不適用</v>
          </cell>
          <cell r="CM15" t="str">
            <v>不適用</v>
          </cell>
          <cell r="CN15" t="str">
            <v>不適用</v>
          </cell>
          <cell r="CO15" t="str">
            <v>不適用</v>
          </cell>
          <cell r="CP15" t="str">
            <v>不適用</v>
          </cell>
          <cell r="CQ15" t="str">
            <v>不適用</v>
          </cell>
          <cell r="CR15" t="str">
            <v>圓形五邊承托架</v>
          </cell>
          <cell r="CS15" t="str">
            <v>請按此處</v>
          </cell>
          <cell r="CT15" t="str">
            <v>不適用</v>
          </cell>
          <cell r="CU15" t="str">
            <v>請按此處</v>
          </cell>
          <cell r="CV15">
            <v>14.8</v>
          </cell>
          <cell r="CW15">
            <v>32.56</v>
          </cell>
          <cell r="CX15" t="str">
            <v>爐頭蓋分別有拋光金色及鍍鉻銀色，配合同色的特硬“Teflon”金屬爐碟和獨有超平爐面。
爐頭座﹝Burner Base﹞為表面鍍鉻﹝Chromium Plated﹞生鐵﹝Cast Lron﹞物料。</v>
          </cell>
        </row>
        <row r="16">
          <cell r="A16" t="str">
            <v>RB2GMB</v>
          </cell>
          <cell r="B16" t="str">
            <v>停售</v>
          </cell>
          <cell r="E16" t="str">
            <v>TGC</v>
          </cell>
          <cell r="F16" t="str">
            <v>RB2GMB</v>
          </cell>
          <cell r="I16" t="str">
            <v>操作資料</v>
          </cell>
          <cell r="J16" t="str">
            <v>爐架適配器</v>
          </cell>
          <cell r="K16" t="str">
            <v>2001年8月15日</v>
          </cell>
          <cell r="L16" t="str">
            <v>2009年1月5日</v>
          </cell>
          <cell r="M16" t="str">
            <v>台灣</v>
          </cell>
          <cell r="N16" t="str">
            <v>已停售</v>
          </cell>
          <cell r="O16" t="str">
            <v>請按此處</v>
          </cell>
          <cell r="P16">
            <v>67</v>
          </cell>
          <cell r="Q16">
            <v>2.6377952755905514</v>
          </cell>
          <cell r="R16">
            <v>75</v>
          </cell>
          <cell r="S16">
            <v>2.9527559055118111</v>
          </cell>
          <cell r="U16">
            <v>0</v>
          </cell>
          <cell r="V16">
            <v>750</v>
          </cell>
          <cell r="W16">
            <v>29.527559055118111</v>
          </cell>
          <cell r="X16">
            <v>450</v>
          </cell>
          <cell r="Y16">
            <v>17.716535433070867</v>
          </cell>
          <cell r="Z16">
            <v>400</v>
          </cell>
          <cell r="AA16">
            <v>15.748031496062993</v>
          </cell>
          <cell r="AC16" t="str">
            <v>670 x 350 (26.4" x 13.8")</v>
          </cell>
          <cell r="AD16">
            <v>2</v>
          </cell>
          <cell r="AE16" t="str">
            <v>智能</v>
          </cell>
          <cell r="AF16" t="str">
            <v>炒鑊</v>
          </cell>
          <cell r="AJ16">
            <v>15.264000000000001</v>
          </cell>
          <cell r="AK16">
            <v>17.388000000000002</v>
          </cell>
          <cell r="AL16">
            <v>0</v>
          </cell>
          <cell r="AM16">
            <v>0</v>
          </cell>
          <cell r="AN16">
            <v>0</v>
          </cell>
          <cell r="AO16">
            <v>1.4400000000000002</v>
          </cell>
          <cell r="AP16">
            <v>3.24</v>
          </cell>
          <cell r="AQ16">
            <v>0</v>
          </cell>
          <cell r="AR16">
            <v>0</v>
          </cell>
          <cell r="AS16">
            <v>0</v>
          </cell>
          <cell r="AT16">
            <v>4.24</v>
          </cell>
          <cell r="AU16">
            <v>4.83</v>
          </cell>
          <cell r="AY16">
            <v>0.4</v>
          </cell>
          <cell r="AZ16">
            <v>0.9</v>
          </cell>
          <cell r="BD16">
            <v>14483.659574432</v>
          </cell>
          <cell r="BE16">
            <v>16499.074468044</v>
          </cell>
          <cell r="BF16">
            <v>0</v>
          </cell>
          <cell r="BG16">
            <v>0</v>
          </cell>
          <cell r="BH16">
            <v>0</v>
          </cell>
          <cell r="BI16">
            <v>1366.3829787200002</v>
          </cell>
          <cell r="BJ16">
            <v>3074.3617021200002</v>
          </cell>
          <cell r="BK16">
            <v>0</v>
          </cell>
          <cell r="BL16">
            <v>0</v>
          </cell>
          <cell r="BM16">
            <v>0</v>
          </cell>
          <cell r="BN16">
            <v>3.9839040000000003</v>
          </cell>
          <cell r="BO16">
            <v>4.5382680000000004</v>
          </cell>
          <cell r="BP16">
            <v>0</v>
          </cell>
          <cell r="BQ16">
            <v>0</v>
          </cell>
          <cell r="BR16">
            <v>0</v>
          </cell>
          <cell r="BS16">
            <v>0.37584000000000006</v>
          </cell>
          <cell r="BT16">
            <v>0.84564000000000006</v>
          </cell>
          <cell r="BU16">
            <v>0</v>
          </cell>
          <cell r="BV16">
            <v>0</v>
          </cell>
          <cell r="BW16">
            <v>0</v>
          </cell>
          <cell r="BX16" t="str">
            <v>不可以</v>
          </cell>
          <cell r="BY16" t="str">
            <v>不可以</v>
          </cell>
          <cell r="CC16" t="str">
            <v>(1) 左面智能爐頭。
(2) 智能爐頭備有煎炸﹝可調校160度、180度、200度﹞。
(3) 270度自動熄火。
(4) 煲水功能，水滾後自動收細火，並於5分鐘後自動熄火。
(5) 煮飯功能，飯熟後自動熄火。
(6) 3小時自動熄火裝置。
(7) 炒鑊及智能爐頭蓋均為坑糟式﹝slot type﹞設計，不易堵塞，方便清潔。</v>
          </cell>
          <cell r="CD16" t="str">
            <v>不適用</v>
          </cell>
          <cell r="CE16" t="str">
            <v>兩枚D型1.5V</v>
          </cell>
          <cell r="CF16" t="str">
            <v>爐底中央</v>
          </cell>
          <cell r="CG16" t="str">
            <v>黑色強化玻璃
白色強化玻璃</v>
          </cell>
          <cell r="CH16" t="str">
            <v>旋鈕式</v>
          </cell>
          <cell r="CI16" t="str">
            <v>旋鈕式</v>
          </cell>
          <cell r="CJ16" t="str">
            <v>雙環</v>
          </cell>
          <cell r="CK16" t="str">
            <v>不適用</v>
          </cell>
          <cell r="CL16" t="str">
            <v>不適用</v>
          </cell>
          <cell r="CM16" t="str">
            <v>不適用</v>
          </cell>
          <cell r="CN16" t="str">
            <v>不適用</v>
          </cell>
          <cell r="CO16" t="str">
            <v>單環</v>
          </cell>
          <cell r="CP16" t="str">
            <v>不適用</v>
          </cell>
          <cell r="CQ16" t="str">
            <v>不適用</v>
          </cell>
          <cell r="CR16" t="str">
            <v>圓形五邊承托架</v>
          </cell>
          <cell r="CS16" t="str">
            <v>請按此處</v>
          </cell>
          <cell r="CT16" t="str">
            <v>不適用</v>
          </cell>
          <cell r="CU16" t="str">
            <v>請按此處</v>
          </cell>
          <cell r="CV16">
            <v>16</v>
          </cell>
          <cell r="CW16">
            <v>35.200000000000003</v>
          </cell>
          <cell r="CX16" t="str">
            <v>爐頭可選擇：黑色﹝陶瓷表面處理 Ceramic Coated﹞、金色﹝拋光銅合金﹞或銀色﹝鍍鉻銅合金 Chromium Plated﹞。</v>
          </cell>
        </row>
        <row r="17">
          <cell r="A17" t="str">
            <v>GH3</v>
          </cell>
          <cell r="B17" t="str">
            <v>停售</v>
          </cell>
          <cell r="C17" t="str">
            <v>更換爐具注意事項，請看備註。</v>
          </cell>
          <cell r="E17" t="str">
            <v>Chef</v>
          </cell>
          <cell r="F17" t="str">
            <v>GH3CB/W</v>
          </cell>
          <cell r="K17" t="str">
            <v>資料不詳</v>
          </cell>
          <cell r="L17" t="str">
            <v>資料不詳</v>
          </cell>
          <cell r="M17" t="str">
            <v>澳洲</v>
          </cell>
          <cell r="N17" t="str">
            <v>已停售</v>
          </cell>
          <cell r="O17" t="str">
            <v>請按此處</v>
          </cell>
          <cell r="P17">
            <v>42</v>
          </cell>
          <cell r="Q17">
            <v>1.6535433070866143</v>
          </cell>
          <cell r="R17">
            <v>48</v>
          </cell>
          <cell r="S17">
            <v>1.8897637795275593</v>
          </cell>
          <cell r="U17">
            <v>0</v>
          </cell>
          <cell r="V17">
            <v>860</v>
          </cell>
          <cell r="W17">
            <v>33.858267716535437</v>
          </cell>
          <cell r="X17">
            <v>450</v>
          </cell>
          <cell r="Y17">
            <v>17.716535433070867</v>
          </cell>
          <cell r="AA17">
            <v>0</v>
          </cell>
          <cell r="AC17" t="str">
            <v>815 x 405 (32.1" x 15.9")</v>
          </cell>
          <cell r="AD17">
            <v>3</v>
          </cell>
          <cell r="AE17" t="str">
            <v>左</v>
          </cell>
          <cell r="AF17" t="str">
            <v>中</v>
          </cell>
          <cell r="AG17" t="str">
            <v>右</v>
          </cell>
          <cell r="AJ17">
            <v>15.120000000000001</v>
          </cell>
          <cell r="AK17">
            <v>6.48</v>
          </cell>
          <cell r="AL17">
            <v>10.08</v>
          </cell>
          <cell r="AM17">
            <v>0</v>
          </cell>
          <cell r="AN17">
            <v>0</v>
          </cell>
          <cell r="AO17">
            <v>0</v>
          </cell>
          <cell r="AP17">
            <v>0</v>
          </cell>
          <cell r="AQ17">
            <v>0</v>
          </cell>
          <cell r="AR17">
            <v>0</v>
          </cell>
          <cell r="AS17">
            <v>0</v>
          </cell>
          <cell r="AT17">
            <v>4.2</v>
          </cell>
          <cell r="AU17">
            <v>1.8</v>
          </cell>
          <cell r="AV17">
            <v>2.8</v>
          </cell>
          <cell r="BD17">
            <v>14347.021276560001</v>
          </cell>
          <cell r="BE17">
            <v>6148.7234042400005</v>
          </cell>
          <cell r="BF17">
            <v>9564.6808510399987</v>
          </cell>
          <cell r="BG17">
            <v>0</v>
          </cell>
          <cell r="BH17">
            <v>0</v>
          </cell>
          <cell r="BI17">
            <v>0</v>
          </cell>
          <cell r="BJ17">
            <v>0</v>
          </cell>
          <cell r="BK17">
            <v>0</v>
          </cell>
          <cell r="BL17">
            <v>0</v>
          </cell>
          <cell r="BM17">
            <v>0</v>
          </cell>
          <cell r="BN17">
            <v>3.9463200000000005</v>
          </cell>
          <cell r="BO17">
            <v>1.6912800000000001</v>
          </cell>
          <cell r="BP17">
            <v>2.6308800000000003</v>
          </cell>
          <cell r="BQ17">
            <v>0</v>
          </cell>
          <cell r="BR17">
            <v>0</v>
          </cell>
          <cell r="BS17">
            <v>0</v>
          </cell>
          <cell r="BT17">
            <v>0</v>
          </cell>
          <cell r="BU17">
            <v>0</v>
          </cell>
          <cell r="BV17">
            <v>0</v>
          </cell>
          <cell r="BW17">
            <v>0</v>
          </cell>
          <cell r="BX17" t="str">
            <v>不可以</v>
          </cell>
          <cell r="BY17" t="str">
            <v>不可以</v>
          </cell>
          <cell r="BZ17" t="str">
            <v>不可以</v>
          </cell>
          <cell r="CD17" t="str">
            <v>220V,13A</v>
          </cell>
          <cell r="CE17" t="str">
            <v>不適用</v>
          </cell>
          <cell r="CF17" t="str">
            <v>不適用</v>
          </cell>
          <cell r="CG17" t="str">
            <v>黑色強化玻璃
白色強化玻璃</v>
          </cell>
          <cell r="CH17" t="str">
            <v>旋鈕式</v>
          </cell>
          <cell r="CI17" t="str">
            <v>旋鈕式</v>
          </cell>
          <cell r="CJ17" t="str">
            <v>三環</v>
          </cell>
          <cell r="CK17" t="str">
            <v>單環</v>
          </cell>
          <cell r="CL17" t="str">
            <v>不適用</v>
          </cell>
          <cell r="CM17" t="str">
            <v>單環</v>
          </cell>
          <cell r="CN17" t="str">
            <v>不適用</v>
          </cell>
          <cell r="CO17" t="str">
            <v>不適用</v>
          </cell>
          <cell r="CP17" t="str">
            <v>不適用</v>
          </cell>
          <cell r="CQ17" t="str">
            <v>不適用</v>
          </cell>
          <cell r="CR17" t="str">
            <v>圓形五邊承托架</v>
          </cell>
          <cell r="CS17" t="str">
            <v>不適用</v>
          </cell>
          <cell r="CT17" t="str">
            <v>不適用</v>
          </cell>
          <cell r="CU17" t="str">
            <v>不適用</v>
          </cell>
          <cell r="CW17">
            <v>0</v>
          </cell>
          <cell r="CX17" t="str">
            <v>請注意：此爐具機身較薄，若爐底有洗衣機 或 櫥櫃有層板或櫃箱，因原來的安裝位置高度不足，當安裝新爐時，有機會需要更改灶台面以加裝厚身框架，將高度加高，故需安排睇位服務。</v>
          </cell>
        </row>
        <row r="18">
          <cell r="A18" t="str">
            <v>GL3C</v>
          </cell>
          <cell r="B18" t="str">
            <v>停售</v>
          </cell>
          <cell r="E18" t="str">
            <v>Goldline</v>
          </cell>
          <cell r="F18" t="str">
            <v>GL3C</v>
          </cell>
          <cell r="K18" t="str">
            <v>2000年4月29日</v>
          </cell>
          <cell r="L18" t="str">
            <v>資料不詳</v>
          </cell>
          <cell r="M18" t="str">
            <v>澳洲</v>
          </cell>
          <cell r="N18" t="str">
            <v>已停售</v>
          </cell>
          <cell r="O18" t="str">
            <v>請按此處</v>
          </cell>
          <cell r="P18">
            <v>48</v>
          </cell>
          <cell r="Q18">
            <v>1.8897637795275593</v>
          </cell>
          <cell r="R18">
            <v>56</v>
          </cell>
          <cell r="S18">
            <v>2.204724409448819</v>
          </cell>
          <cell r="U18">
            <v>0</v>
          </cell>
          <cell r="V18">
            <v>860</v>
          </cell>
          <cell r="W18">
            <v>33.858267716535437</v>
          </cell>
          <cell r="X18">
            <v>450</v>
          </cell>
          <cell r="Y18">
            <v>17.716535433070867</v>
          </cell>
          <cell r="Z18">
            <v>540</v>
          </cell>
          <cell r="AA18">
            <v>21.259842519685041</v>
          </cell>
          <cell r="AC18" t="str">
            <v>815 x 405 (32.1" x 15.9")</v>
          </cell>
          <cell r="AD18">
            <v>3</v>
          </cell>
          <cell r="AE18" t="str">
            <v>左</v>
          </cell>
          <cell r="AF18" t="str">
            <v>中</v>
          </cell>
          <cell r="AG18" t="str">
            <v>右</v>
          </cell>
          <cell r="AJ18">
            <v>15.120000000000001</v>
          </cell>
          <cell r="AK18">
            <v>9.7200000000000006</v>
          </cell>
          <cell r="AL18">
            <v>15.120000000000001</v>
          </cell>
          <cell r="AM18">
            <v>0</v>
          </cell>
          <cell r="AN18">
            <v>0</v>
          </cell>
          <cell r="AO18">
            <v>0</v>
          </cell>
          <cell r="AP18">
            <v>0</v>
          </cell>
          <cell r="AQ18">
            <v>0</v>
          </cell>
          <cell r="AR18">
            <v>0</v>
          </cell>
          <cell r="AS18">
            <v>0</v>
          </cell>
          <cell r="AT18">
            <v>4.2</v>
          </cell>
          <cell r="AU18">
            <v>2.7</v>
          </cell>
          <cell r="AV18">
            <v>4.2</v>
          </cell>
          <cell r="BD18">
            <v>14347.021276560001</v>
          </cell>
          <cell r="BE18">
            <v>9223.0851063600003</v>
          </cell>
          <cell r="BF18">
            <v>14347.021276560001</v>
          </cell>
          <cell r="BG18">
            <v>0</v>
          </cell>
          <cell r="BH18">
            <v>0</v>
          </cell>
          <cell r="BI18">
            <v>0</v>
          </cell>
          <cell r="BJ18">
            <v>0</v>
          </cell>
          <cell r="BK18">
            <v>0</v>
          </cell>
          <cell r="BL18">
            <v>0</v>
          </cell>
          <cell r="BM18">
            <v>0</v>
          </cell>
          <cell r="BN18">
            <v>3.9463200000000005</v>
          </cell>
          <cell r="BO18">
            <v>2.5369200000000003</v>
          </cell>
          <cell r="BP18">
            <v>3.9463200000000005</v>
          </cell>
          <cell r="BQ18">
            <v>0</v>
          </cell>
          <cell r="BR18">
            <v>0</v>
          </cell>
          <cell r="BS18">
            <v>0</v>
          </cell>
          <cell r="BT18">
            <v>0</v>
          </cell>
          <cell r="BU18">
            <v>0</v>
          </cell>
          <cell r="BV18">
            <v>0</v>
          </cell>
          <cell r="BW18">
            <v>0</v>
          </cell>
          <cell r="BX18" t="str">
            <v>資料不詳</v>
          </cell>
          <cell r="BY18" t="str">
            <v>資料不詳</v>
          </cell>
          <cell r="BZ18" t="str">
            <v>資料不詳</v>
          </cell>
          <cell r="CC18" t="str">
            <v>爐頭與爐架之窄隙設計，減少溢出食物入爐內。</v>
          </cell>
          <cell r="CD18" t="str">
            <v>220V,13A</v>
          </cell>
          <cell r="CE18" t="str">
            <v>不適用</v>
          </cell>
          <cell r="CF18" t="str">
            <v>不適用</v>
          </cell>
          <cell r="CG18" t="str">
            <v>茶色強化玻璃</v>
          </cell>
          <cell r="CH18" t="str">
            <v>旋鈕式</v>
          </cell>
          <cell r="CI18" t="str">
            <v>旋鈕式</v>
          </cell>
          <cell r="CJ18" t="str">
            <v>雙環 x 2</v>
          </cell>
          <cell r="CK18" t="str">
            <v>單環</v>
          </cell>
          <cell r="CL18" t="str">
            <v>不適用</v>
          </cell>
          <cell r="CM18" t="str">
            <v>不適用</v>
          </cell>
          <cell r="CN18" t="str">
            <v>不適用</v>
          </cell>
          <cell r="CO18" t="str">
            <v>不適用</v>
          </cell>
          <cell r="CP18" t="str">
            <v>不適用</v>
          </cell>
          <cell r="CQ18" t="str">
            <v>不適用</v>
          </cell>
          <cell r="CR18" t="str">
            <v>圓形五邊承托架</v>
          </cell>
          <cell r="CS18" t="str">
            <v>請按此處</v>
          </cell>
          <cell r="CT18" t="str">
            <v>不適用</v>
          </cell>
          <cell r="CU18" t="str">
            <v>不適用</v>
          </cell>
          <cell r="CW18">
            <v>0</v>
          </cell>
          <cell r="CX18"/>
        </row>
        <row r="19">
          <cell r="A19" t="str">
            <v>GL603</v>
          </cell>
          <cell r="B19" t="str">
            <v>停售</v>
          </cell>
          <cell r="E19" t="str">
            <v>Goldline</v>
          </cell>
          <cell r="F19" t="str">
            <v>GL603</v>
          </cell>
          <cell r="K19" t="str">
            <v>1998年9月8日</v>
          </cell>
          <cell r="L19" t="str">
            <v>資料不詳</v>
          </cell>
          <cell r="M19" t="str">
            <v>澳洲</v>
          </cell>
          <cell r="N19" t="str">
            <v>已停售</v>
          </cell>
          <cell r="O19" t="str">
            <v>請按此處</v>
          </cell>
          <cell r="P19">
            <v>52</v>
          </cell>
          <cell r="Q19">
            <v>2.0472440944881889</v>
          </cell>
          <cell r="R19">
            <v>60</v>
          </cell>
          <cell r="S19">
            <v>2.3622047244094491</v>
          </cell>
          <cell r="U19">
            <v>0</v>
          </cell>
          <cell r="V19">
            <v>640</v>
          </cell>
          <cell r="W19">
            <v>25.196850393700789</v>
          </cell>
          <cell r="X19">
            <v>500</v>
          </cell>
          <cell r="Y19">
            <v>19.685039370078741</v>
          </cell>
          <cell r="AA19">
            <v>0</v>
          </cell>
          <cell r="AC19" t="str">
            <v>555 x 475 (21.9" x 18.7")</v>
          </cell>
          <cell r="AD19">
            <v>3</v>
          </cell>
          <cell r="AE19" t="str">
            <v>左上</v>
          </cell>
          <cell r="AF19" t="str">
            <v>左下</v>
          </cell>
          <cell r="AG19" t="str">
            <v>右</v>
          </cell>
          <cell r="AJ19">
            <v>9.7200000000000006</v>
          </cell>
          <cell r="AK19">
            <v>9.7200000000000006</v>
          </cell>
          <cell r="AL19">
            <v>15.120000000000001</v>
          </cell>
          <cell r="AM19">
            <v>0</v>
          </cell>
          <cell r="AN19">
            <v>0</v>
          </cell>
          <cell r="AO19">
            <v>0</v>
          </cell>
          <cell r="AP19">
            <v>0</v>
          </cell>
          <cell r="AQ19">
            <v>0</v>
          </cell>
          <cell r="AR19">
            <v>0</v>
          </cell>
          <cell r="AS19">
            <v>0</v>
          </cell>
          <cell r="AT19">
            <v>2.7</v>
          </cell>
          <cell r="AU19">
            <v>2.7</v>
          </cell>
          <cell r="AV19">
            <v>4.2</v>
          </cell>
          <cell r="BD19">
            <v>9223.0851063600003</v>
          </cell>
          <cell r="BE19">
            <v>9223.0851063600003</v>
          </cell>
          <cell r="BF19">
            <v>14347.021276560001</v>
          </cell>
          <cell r="BG19">
            <v>0</v>
          </cell>
          <cell r="BH19">
            <v>0</v>
          </cell>
          <cell r="BI19">
            <v>0</v>
          </cell>
          <cell r="BJ19">
            <v>0</v>
          </cell>
          <cell r="BK19">
            <v>0</v>
          </cell>
          <cell r="BL19">
            <v>0</v>
          </cell>
          <cell r="BM19">
            <v>0</v>
          </cell>
          <cell r="BN19">
            <v>2.5369200000000003</v>
          </cell>
          <cell r="BO19">
            <v>2.5369200000000003</v>
          </cell>
          <cell r="BP19">
            <v>3.9463200000000005</v>
          </cell>
          <cell r="BQ19">
            <v>0</v>
          </cell>
          <cell r="BR19">
            <v>0</v>
          </cell>
          <cell r="BS19">
            <v>0</v>
          </cell>
          <cell r="BT19">
            <v>0</v>
          </cell>
          <cell r="BU19">
            <v>0</v>
          </cell>
          <cell r="BV19">
            <v>0</v>
          </cell>
          <cell r="BW19">
            <v>0</v>
          </cell>
          <cell r="BX19" t="str">
            <v>不可以</v>
          </cell>
          <cell r="BY19" t="str">
            <v>不可以</v>
          </cell>
          <cell r="BZ19" t="str">
            <v>不可以</v>
          </cell>
          <cell r="CC19" t="str">
            <v>加大火力，爐頭與爐架之窄隙設計，避免食物滲入爐內</v>
          </cell>
          <cell r="CD19" t="str">
            <v>220V,13A</v>
          </cell>
          <cell r="CE19" t="str">
            <v>不適用</v>
          </cell>
          <cell r="CF19" t="str">
            <v>不適用</v>
          </cell>
          <cell r="CG19" t="str">
            <v>灰雲石強化玻璃
黑色強化玻璃</v>
          </cell>
          <cell r="CH19" t="str">
            <v>旋鈕式</v>
          </cell>
          <cell r="CI19" t="str">
            <v>旋鈕式</v>
          </cell>
          <cell r="CJ19" t="str">
            <v>三環</v>
          </cell>
          <cell r="CK19" t="str">
            <v>雙環 x 2</v>
          </cell>
          <cell r="CL19" t="str">
            <v>不適用</v>
          </cell>
          <cell r="CM19" t="str">
            <v>不適用</v>
          </cell>
          <cell r="CN19" t="str">
            <v>不適用</v>
          </cell>
          <cell r="CO19" t="str">
            <v>不適用</v>
          </cell>
          <cell r="CP19" t="str">
            <v>不適用</v>
          </cell>
          <cell r="CQ19" t="str">
            <v>不適用</v>
          </cell>
          <cell r="CR19" t="str">
            <v>圓形五邊承托架</v>
          </cell>
          <cell r="CS19" t="str">
            <v>請按此處</v>
          </cell>
          <cell r="CT19" t="str">
            <v>不適用</v>
          </cell>
          <cell r="CU19" t="str">
            <v>不適用</v>
          </cell>
          <cell r="CW19">
            <v>0</v>
          </cell>
          <cell r="CX19"/>
        </row>
        <row r="20">
          <cell r="A20" t="str">
            <v>RB3E</v>
          </cell>
          <cell r="B20" t="str">
            <v>停售</v>
          </cell>
          <cell r="E20" t="str">
            <v>Rinnai</v>
          </cell>
          <cell r="F20" t="str">
            <v>RB-3E</v>
          </cell>
          <cell r="I20" t="str">
            <v>操作資料</v>
          </cell>
          <cell r="K20" t="str">
            <v>1998年8月18日</v>
          </cell>
          <cell r="L20" t="str">
            <v>資料不詳</v>
          </cell>
          <cell r="M20" t="str">
            <v>日本</v>
          </cell>
          <cell r="N20" t="str">
            <v>已停售</v>
          </cell>
          <cell r="O20" t="str">
            <v>請按此處</v>
          </cell>
          <cell r="Q20">
            <v>0</v>
          </cell>
          <cell r="R20">
            <v>77</v>
          </cell>
          <cell r="S20">
            <v>3.0314960629921264</v>
          </cell>
          <cell r="T20">
            <v>115</v>
          </cell>
          <cell r="U20">
            <v>4.5275590551181102</v>
          </cell>
          <cell r="V20">
            <v>867</v>
          </cell>
          <cell r="W20">
            <v>34.133858267716541</v>
          </cell>
          <cell r="X20">
            <v>507</v>
          </cell>
          <cell r="Y20">
            <v>19.960629921259844</v>
          </cell>
          <cell r="AA20">
            <v>0</v>
          </cell>
          <cell r="AC20" t="str">
            <v>835 x 475 (32.9" x 18.7")</v>
          </cell>
          <cell r="AD20">
            <v>3</v>
          </cell>
          <cell r="AE20" t="str">
            <v>左</v>
          </cell>
          <cell r="AF20" t="str">
            <v>右上</v>
          </cell>
          <cell r="AG20" t="str">
            <v>右下</v>
          </cell>
          <cell r="AJ20">
            <v>17.28</v>
          </cell>
          <cell r="AK20">
            <v>9.7200000000000006</v>
          </cell>
          <cell r="AL20">
            <v>9.7200000000000006</v>
          </cell>
          <cell r="AM20">
            <v>0</v>
          </cell>
          <cell r="AN20">
            <v>0</v>
          </cell>
          <cell r="AO20">
            <v>0</v>
          </cell>
          <cell r="AP20">
            <v>0</v>
          </cell>
          <cell r="AQ20">
            <v>0</v>
          </cell>
          <cell r="AR20">
            <v>0</v>
          </cell>
          <cell r="AS20">
            <v>0</v>
          </cell>
          <cell r="AT20">
            <v>4.8</v>
          </cell>
          <cell r="AU20">
            <v>2.7</v>
          </cell>
          <cell r="AV20">
            <v>2.7</v>
          </cell>
          <cell r="BD20">
            <v>16396.595744639999</v>
          </cell>
          <cell r="BE20">
            <v>9223.0851063600003</v>
          </cell>
          <cell r="BF20">
            <v>9223.0851063600003</v>
          </cell>
          <cell r="BG20">
            <v>0</v>
          </cell>
          <cell r="BH20">
            <v>0</v>
          </cell>
          <cell r="BI20">
            <v>0</v>
          </cell>
          <cell r="BJ20">
            <v>0</v>
          </cell>
          <cell r="BK20">
            <v>0</v>
          </cell>
          <cell r="BL20">
            <v>0</v>
          </cell>
          <cell r="BM20">
            <v>0</v>
          </cell>
          <cell r="BN20">
            <v>4.5100800000000003</v>
          </cell>
          <cell r="BO20">
            <v>2.5369200000000003</v>
          </cell>
          <cell r="BP20">
            <v>2.5369200000000003</v>
          </cell>
          <cell r="BQ20">
            <v>0</v>
          </cell>
          <cell r="BR20">
            <v>0</v>
          </cell>
          <cell r="BS20">
            <v>0</v>
          </cell>
          <cell r="BT20">
            <v>0</v>
          </cell>
          <cell r="BU20">
            <v>0</v>
          </cell>
          <cell r="BV20">
            <v>0</v>
          </cell>
          <cell r="BW20">
            <v>0</v>
          </cell>
          <cell r="BX20" t="str">
            <v>不可以</v>
          </cell>
          <cell r="BY20" t="str">
            <v>不可以</v>
          </cell>
          <cell r="BZ20" t="str">
            <v>不可以</v>
          </cell>
          <cell r="CC20" t="str">
            <v>(1) 輔助承托架，方便擺放煑食用具</v>
          </cell>
          <cell r="CD20" t="str">
            <v>220V,13A</v>
          </cell>
          <cell r="CE20" t="str">
            <v>不適用</v>
          </cell>
          <cell r="CF20" t="str">
            <v>不適用</v>
          </cell>
          <cell r="CG20" t="str">
            <v>白色搪瓷
灰色搪瓷</v>
          </cell>
          <cell r="CH20" t="str">
            <v>旋鈕式</v>
          </cell>
          <cell r="CI20" t="str">
            <v>旋鈕式</v>
          </cell>
          <cell r="CJ20" t="str">
            <v>雙環</v>
          </cell>
          <cell r="CK20" t="str">
            <v>雙環</v>
          </cell>
          <cell r="CL20" t="str">
            <v>不適用</v>
          </cell>
          <cell r="CM20" t="str">
            <v>不適用</v>
          </cell>
          <cell r="CN20" t="str">
            <v>不適用</v>
          </cell>
          <cell r="CO20" t="str">
            <v>不適用</v>
          </cell>
          <cell r="CP20" t="str">
            <v>不適用</v>
          </cell>
          <cell r="CQ20" t="str">
            <v>不適用</v>
          </cell>
          <cell r="CR20" t="str">
            <v>長形連架</v>
          </cell>
          <cell r="CS20" t="str">
            <v>請按此處</v>
          </cell>
          <cell r="CT20" t="str">
            <v>不適用</v>
          </cell>
          <cell r="CU20" t="str">
            <v>不適用</v>
          </cell>
          <cell r="CV20">
            <v>13.5</v>
          </cell>
          <cell r="CW20">
            <v>29.700000000000003</v>
          </cell>
          <cell r="CX20"/>
        </row>
        <row r="21">
          <cell r="A21" t="str">
            <v>RB703</v>
          </cell>
          <cell r="B21" t="str">
            <v>停售</v>
          </cell>
          <cell r="E21" t="str">
            <v>Rinnai</v>
          </cell>
          <cell r="F21" t="str">
            <v>RB-703</v>
          </cell>
          <cell r="K21" t="str">
            <v>2000年3月28日</v>
          </cell>
          <cell r="L21" t="str">
            <v>資料不詳</v>
          </cell>
          <cell r="M21" t="str">
            <v>上海</v>
          </cell>
          <cell r="N21" t="str">
            <v>已停售</v>
          </cell>
          <cell r="O21" t="str">
            <v>請按此處</v>
          </cell>
          <cell r="Q21">
            <v>0</v>
          </cell>
          <cell r="R21">
            <v>80</v>
          </cell>
          <cell r="S21">
            <v>3.1496062992125986</v>
          </cell>
          <cell r="U21">
            <v>0</v>
          </cell>
          <cell r="V21">
            <v>750</v>
          </cell>
          <cell r="W21">
            <v>29.527559055118111</v>
          </cell>
          <cell r="X21">
            <v>450</v>
          </cell>
          <cell r="Y21">
            <v>17.716535433070867</v>
          </cell>
          <cell r="AA21">
            <v>0</v>
          </cell>
          <cell r="AC21" t="str">
            <v>703 x 403 (27.7" x 15.9")</v>
          </cell>
          <cell r="AD21">
            <v>3</v>
          </cell>
          <cell r="AE21" t="str">
            <v>左</v>
          </cell>
          <cell r="AF21" t="str">
            <v>中</v>
          </cell>
          <cell r="AG21" t="str">
            <v>右</v>
          </cell>
          <cell r="AJ21">
            <v>15.120000000000001</v>
          </cell>
          <cell r="AK21">
            <v>5.04</v>
          </cell>
          <cell r="AL21">
            <v>18</v>
          </cell>
          <cell r="AM21">
            <v>0</v>
          </cell>
          <cell r="AN21">
            <v>0</v>
          </cell>
          <cell r="AO21">
            <v>0</v>
          </cell>
          <cell r="AP21">
            <v>0</v>
          </cell>
          <cell r="AQ21">
            <v>0</v>
          </cell>
          <cell r="AR21">
            <v>0</v>
          </cell>
          <cell r="AS21">
            <v>0</v>
          </cell>
          <cell r="AT21">
            <v>4.2</v>
          </cell>
          <cell r="AU21">
            <v>1.4</v>
          </cell>
          <cell r="AV21">
            <v>5</v>
          </cell>
          <cell r="BD21">
            <v>14347.021276560001</v>
          </cell>
          <cell r="BE21">
            <v>4782.3404255199994</v>
          </cell>
          <cell r="BF21">
            <v>17079.787233999999</v>
          </cell>
          <cell r="BG21">
            <v>0</v>
          </cell>
          <cell r="BH21">
            <v>0</v>
          </cell>
          <cell r="BI21">
            <v>0</v>
          </cell>
          <cell r="BJ21">
            <v>0</v>
          </cell>
          <cell r="BK21">
            <v>0</v>
          </cell>
          <cell r="BL21">
            <v>0</v>
          </cell>
          <cell r="BM21">
            <v>0</v>
          </cell>
          <cell r="BN21">
            <v>3.9463200000000005</v>
          </cell>
          <cell r="BO21">
            <v>1.3154400000000002</v>
          </cell>
          <cell r="BP21">
            <v>4.6980000000000004</v>
          </cell>
          <cell r="BQ21">
            <v>0</v>
          </cell>
          <cell r="BR21">
            <v>0</v>
          </cell>
          <cell r="BS21">
            <v>0</v>
          </cell>
          <cell r="BT21">
            <v>0</v>
          </cell>
          <cell r="BU21">
            <v>0</v>
          </cell>
          <cell r="BV21">
            <v>0</v>
          </cell>
          <cell r="BW21">
            <v>0</v>
          </cell>
          <cell r="BX21" t="str">
            <v>不可以</v>
          </cell>
          <cell r="BY21" t="str">
            <v>不可以</v>
          </cell>
          <cell r="BZ21" t="str">
            <v>可以</v>
          </cell>
          <cell r="CD21" t="str">
            <v>不適用</v>
          </cell>
          <cell r="CE21" t="str">
            <v>一枚D型1.5V</v>
          </cell>
          <cell r="CF21" t="str">
            <v>資料不詳</v>
          </cell>
          <cell r="CG21" t="str">
            <v>白色搪瓷</v>
          </cell>
          <cell r="CH21" t="str">
            <v>旋鈕式</v>
          </cell>
          <cell r="CI21" t="str">
            <v>旋鈕式</v>
          </cell>
          <cell r="CJ21" t="str">
            <v>資料不詳</v>
          </cell>
          <cell r="CK21" t="str">
            <v>資料不詳</v>
          </cell>
          <cell r="CL21" t="str">
            <v>不適用</v>
          </cell>
          <cell r="CM21" t="str">
            <v>資料不詳</v>
          </cell>
          <cell r="CN21" t="str">
            <v>不適用</v>
          </cell>
          <cell r="CO21" t="str">
            <v>不適用</v>
          </cell>
          <cell r="CP21" t="str">
            <v>不適用</v>
          </cell>
          <cell r="CQ21" t="str">
            <v>不適用</v>
          </cell>
          <cell r="CR21" t="str">
            <v>圓形六邊承托架</v>
          </cell>
          <cell r="CS21" t="str">
            <v>請按此處</v>
          </cell>
          <cell r="CT21" t="str">
            <v>不適用</v>
          </cell>
          <cell r="CU21" t="str">
            <v>請按此處</v>
          </cell>
          <cell r="CW21">
            <v>0</v>
          </cell>
          <cell r="CX21"/>
        </row>
        <row r="22">
          <cell r="A22" t="str">
            <v>RB903M</v>
          </cell>
          <cell r="B22" t="str">
            <v>停售</v>
          </cell>
          <cell r="E22" t="str">
            <v>Rinnai</v>
          </cell>
          <cell r="F22" t="str">
            <v>RB-903M</v>
          </cell>
          <cell r="I22" t="str">
            <v>操作資料</v>
          </cell>
          <cell r="K22" t="str">
            <v>1999年1月18日</v>
          </cell>
          <cell r="L22" t="str">
            <v>資料不詳</v>
          </cell>
          <cell r="M22" t="str">
            <v>印尼</v>
          </cell>
          <cell r="N22" t="str">
            <v>已停售</v>
          </cell>
          <cell r="O22" t="str">
            <v>請按此處</v>
          </cell>
          <cell r="P22">
            <v>55</v>
          </cell>
          <cell r="Q22">
            <v>2.1653543307086616</v>
          </cell>
          <cell r="R22">
            <v>77</v>
          </cell>
          <cell r="S22">
            <v>3.0314960629921264</v>
          </cell>
          <cell r="U22">
            <v>0</v>
          </cell>
          <cell r="V22">
            <v>867</v>
          </cell>
          <cell r="W22">
            <v>34.133858267716541</v>
          </cell>
          <cell r="X22">
            <v>507</v>
          </cell>
          <cell r="Y22">
            <v>19.960629921259844</v>
          </cell>
          <cell r="Z22">
            <v>400</v>
          </cell>
          <cell r="AA22">
            <v>15.748031496062993</v>
          </cell>
          <cell r="AC22" t="str">
            <v>835 x 475 (32.9" x 18.7")</v>
          </cell>
          <cell r="AD22">
            <v>3</v>
          </cell>
          <cell r="AE22" t="str">
            <v>左 (炒鑊)</v>
          </cell>
          <cell r="AF22" t="str">
            <v>右上 (智能)</v>
          </cell>
          <cell r="AG22" t="str">
            <v xml:space="preserve">右下 </v>
          </cell>
          <cell r="AJ22">
            <v>17.28</v>
          </cell>
          <cell r="AK22">
            <v>5.04</v>
          </cell>
          <cell r="AL22">
            <v>9.7200000000000006</v>
          </cell>
          <cell r="AM22">
            <v>0</v>
          </cell>
          <cell r="AN22">
            <v>0</v>
          </cell>
          <cell r="AO22">
            <v>0</v>
          </cell>
          <cell r="AP22">
            <v>0</v>
          </cell>
          <cell r="AQ22">
            <v>0</v>
          </cell>
          <cell r="AR22">
            <v>0</v>
          </cell>
          <cell r="AS22">
            <v>0</v>
          </cell>
          <cell r="AT22">
            <v>4.8</v>
          </cell>
          <cell r="AU22">
            <v>1.4</v>
          </cell>
          <cell r="AV22">
            <v>2.7</v>
          </cell>
          <cell r="BD22">
            <v>16396.595744639999</v>
          </cell>
          <cell r="BE22">
            <v>4782.3404255199994</v>
          </cell>
          <cell r="BF22">
            <v>9223.0851063600003</v>
          </cell>
          <cell r="BG22">
            <v>0</v>
          </cell>
          <cell r="BH22">
            <v>0</v>
          </cell>
          <cell r="BI22">
            <v>0</v>
          </cell>
          <cell r="BJ22">
            <v>0</v>
          </cell>
          <cell r="BK22">
            <v>0</v>
          </cell>
          <cell r="BL22">
            <v>0</v>
          </cell>
          <cell r="BM22">
            <v>0</v>
          </cell>
          <cell r="BN22">
            <v>4.5100800000000003</v>
          </cell>
          <cell r="BO22">
            <v>1.3154400000000002</v>
          </cell>
          <cell r="BP22">
            <v>2.5369200000000003</v>
          </cell>
          <cell r="BQ22">
            <v>0</v>
          </cell>
          <cell r="BR22">
            <v>0</v>
          </cell>
          <cell r="BS22">
            <v>0</v>
          </cell>
          <cell r="BT22">
            <v>0</v>
          </cell>
          <cell r="BU22">
            <v>0</v>
          </cell>
          <cell r="BV22">
            <v>0</v>
          </cell>
          <cell r="BW22">
            <v>0</v>
          </cell>
          <cell r="BX22" t="str">
            <v>不可以</v>
          </cell>
          <cell r="BY22" t="str">
            <v>不可以</v>
          </cell>
          <cell r="BZ22" t="str">
            <v>不可以</v>
          </cell>
          <cell r="CC22" t="str">
            <v>(1) 智能爐頭備有煎炸(可調校160度、180度、200度)
(2) 270度自動熄火 
(3) 煮飯(飯煮自動熄火) 
(4) 煲水，水滾後自動收細火，並於5分鐘後自動熄火
(5) 更換電池提示燈 
(6) 3小時自動熄火裝置。</v>
          </cell>
          <cell r="CD22" t="str">
            <v>不適用</v>
          </cell>
          <cell r="CE22" t="str">
            <v>兩枚D型1.5V</v>
          </cell>
          <cell r="CF22" t="str">
            <v>資料不詳</v>
          </cell>
          <cell r="CG22" t="str">
            <v>白色搪瓷
灰色搪瓷
不銹鋼</v>
          </cell>
          <cell r="CH22" t="str">
            <v>旋鈕式</v>
          </cell>
          <cell r="CI22" t="str">
            <v>旋鈕式</v>
          </cell>
          <cell r="CJ22" t="str">
            <v>雙環</v>
          </cell>
          <cell r="CK22" t="str">
            <v>雙環</v>
          </cell>
          <cell r="CL22" t="str">
            <v>不適用</v>
          </cell>
          <cell r="CM22" t="str">
            <v>不適用</v>
          </cell>
          <cell r="CN22" t="str">
            <v>不適用</v>
          </cell>
          <cell r="CO22" t="str">
            <v>單環</v>
          </cell>
          <cell r="CP22" t="str">
            <v>不適用</v>
          </cell>
          <cell r="CQ22" t="str">
            <v>不適用</v>
          </cell>
          <cell r="CR22" t="str">
            <v>長形連架</v>
          </cell>
          <cell r="CS22" t="str">
            <v>請按此處</v>
          </cell>
          <cell r="CT22" t="str">
            <v>不適用</v>
          </cell>
          <cell r="CU22" t="str">
            <v>不適用</v>
          </cell>
          <cell r="CV22">
            <v>13.5</v>
          </cell>
          <cell r="CW22">
            <v>29.700000000000003</v>
          </cell>
          <cell r="CX22"/>
        </row>
        <row r="23">
          <cell r="A23" t="str">
            <v>RB3GA</v>
          </cell>
          <cell r="B23" t="str">
            <v>停售</v>
          </cell>
          <cell r="E23" t="str">
            <v>Rinnai</v>
          </cell>
          <cell r="F23" t="str">
            <v>RB3GA</v>
          </cell>
          <cell r="K23" t="str">
            <v>資料不詳</v>
          </cell>
          <cell r="L23" t="str">
            <v>資料不詳</v>
          </cell>
          <cell r="M23" t="str">
            <v>台灣</v>
          </cell>
          <cell r="N23" t="str">
            <v>已停售</v>
          </cell>
          <cell r="O23" t="str">
            <v>請按此處</v>
          </cell>
          <cell r="P23">
            <v>55</v>
          </cell>
          <cell r="Q23">
            <v>2.1653543307086616</v>
          </cell>
          <cell r="R23">
            <v>63</v>
          </cell>
          <cell r="S23">
            <v>2.4803149606299213</v>
          </cell>
          <cell r="U23">
            <v>0</v>
          </cell>
          <cell r="V23">
            <v>860</v>
          </cell>
          <cell r="W23">
            <v>33.858267716535437</v>
          </cell>
          <cell r="X23">
            <v>450</v>
          </cell>
          <cell r="Y23">
            <v>17.716535433070867</v>
          </cell>
          <cell r="AA23">
            <v>0</v>
          </cell>
          <cell r="AC23" t="str">
            <v>815 x 405 (32.1" x 15.9")</v>
          </cell>
          <cell r="AD23">
            <v>3</v>
          </cell>
          <cell r="AE23" t="str">
            <v>左</v>
          </cell>
          <cell r="AF23" t="str">
            <v>中</v>
          </cell>
          <cell r="AG23" t="str">
            <v>右</v>
          </cell>
          <cell r="AJ23">
            <v>17.28</v>
          </cell>
          <cell r="AK23">
            <v>9.7200000000000006</v>
          </cell>
          <cell r="AL23">
            <v>17.28</v>
          </cell>
          <cell r="AM23">
            <v>0</v>
          </cell>
          <cell r="AN23">
            <v>0</v>
          </cell>
          <cell r="AO23">
            <v>0</v>
          </cell>
          <cell r="AP23">
            <v>0</v>
          </cell>
          <cell r="AQ23">
            <v>0</v>
          </cell>
          <cell r="AR23">
            <v>0</v>
          </cell>
          <cell r="AS23">
            <v>0</v>
          </cell>
          <cell r="AT23">
            <v>4.8</v>
          </cell>
          <cell r="AU23">
            <v>2.7</v>
          </cell>
          <cell r="AV23">
            <v>4.8</v>
          </cell>
          <cell r="BD23">
            <v>16396.595744639999</v>
          </cell>
          <cell r="BE23">
            <v>9223.0851063600003</v>
          </cell>
          <cell r="BF23">
            <v>16396.595744639999</v>
          </cell>
          <cell r="BG23">
            <v>0</v>
          </cell>
          <cell r="BH23">
            <v>0</v>
          </cell>
          <cell r="BI23">
            <v>0</v>
          </cell>
          <cell r="BJ23">
            <v>0</v>
          </cell>
          <cell r="BK23">
            <v>0</v>
          </cell>
          <cell r="BL23">
            <v>0</v>
          </cell>
          <cell r="BM23">
            <v>0</v>
          </cell>
          <cell r="BN23">
            <v>4.5100800000000003</v>
          </cell>
          <cell r="BO23">
            <v>2.5369200000000003</v>
          </cell>
          <cell r="BP23">
            <v>4.5100800000000003</v>
          </cell>
          <cell r="BQ23">
            <v>0</v>
          </cell>
          <cell r="BR23">
            <v>0</v>
          </cell>
          <cell r="BS23">
            <v>0</v>
          </cell>
          <cell r="BT23">
            <v>0</v>
          </cell>
          <cell r="BU23">
            <v>0</v>
          </cell>
          <cell r="BV23">
            <v>0</v>
          </cell>
          <cell r="BW23">
            <v>0</v>
          </cell>
          <cell r="BX23" t="str">
            <v>不可以</v>
          </cell>
          <cell r="BY23" t="str">
            <v>不可以</v>
          </cell>
          <cell r="BZ23" t="str">
            <v>不可以</v>
          </cell>
          <cell r="CC23" t="str">
            <v>火力強大，市面玻璃面爐中最大。爐頭座(Burner Base)為表面鍍鉻(Chromium Plated)生鐵 (Cast Iron)物料，美觀耐用，不易變形，，黑金玻璃面配備金色銅合金爐頭環，而白色玻璃則配表鍍鉻銅合金，燃燒時不易變黑，爐底溫度特低，不會燙手。</v>
          </cell>
          <cell r="CD23" t="str">
            <v>220V,13A</v>
          </cell>
          <cell r="CE23" t="str">
            <v>不適用</v>
          </cell>
          <cell r="CF23" t="str">
            <v>資料不詳</v>
          </cell>
          <cell r="CG23" t="str">
            <v>白色強化玻璃
黑色強化玻璃</v>
          </cell>
          <cell r="CH23" t="str">
            <v>旋鈕式</v>
          </cell>
          <cell r="CI23" t="str">
            <v>旋鈕式</v>
          </cell>
          <cell r="CJ23" t="str">
            <v>雙環 x 2</v>
          </cell>
          <cell r="CK23" t="str">
            <v>單環</v>
          </cell>
          <cell r="CL23" t="str">
            <v>不適用</v>
          </cell>
          <cell r="CM23" t="str">
            <v>不適用</v>
          </cell>
          <cell r="CN23" t="str">
            <v>不適用</v>
          </cell>
          <cell r="CO23" t="str">
            <v>不適用</v>
          </cell>
          <cell r="CP23" t="str">
            <v>不適用</v>
          </cell>
          <cell r="CQ23" t="str">
            <v>不適用</v>
          </cell>
          <cell r="CR23" t="str">
            <v>圓形五邊承托架</v>
          </cell>
          <cell r="CS23" t="str">
            <v>不適用</v>
          </cell>
          <cell r="CT23" t="str">
            <v>不適用</v>
          </cell>
          <cell r="CU23" t="str">
            <v>請按此處</v>
          </cell>
          <cell r="CW23">
            <v>0</v>
          </cell>
          <cell r="CX23"/>
        </row>
        <row r="24">
          <cell r="A24" t="str">
            <v>RB3GB</v>
          </cell>
          <cell r="B24" t="str">
            <v>停售</v>
          </cell>
          <cell r="E24" t="str">
            <v>Rinnai</v>
          </cell>
          <cell r="F24" t="str">
            <v>RB3GB</v>
          </cell>
          <cell r="K24" t="str">
            <v>資料不詳</v>
          </cell>
          <cell r="L24" t="str">
            <v>資料不詳</v>
          </cell>
          <cell r="M24" t="str">
            <v>台灣</v>
          </cell>
          <cell r="N24" t="str">
            <v>已停售</v>
          </cell>
          <cell r="O24" t="str">
            <v>請按此處</v>
          </cell>
          <cell r="P24">
            <v>55</v>
          </cell>
          <cell r="Q24">
            <v>2.1653543307086616</v>
          </cell>
          <cell r="R24">
            <v>63</v>
          </cell>
          <cell r="S24">
            <v>2.4803149606299213</v>
          </cell>
          <cell r="U24">
            <v>0</v>
          </cell>
          <cell r="V24">
            <v>860</v>
          </cell>
          <cell r="W24">
            <v>33.858267716535437</v>
          </cell>
          <cell r="X24">
            <v>450</v>
          </cell>
          <cell r="Y24">
            <v>17.716535433070867</v>
          </cell>
          <cell r="AA24">
            <v>0</v>
          </cell>
          <cell r="AC24" t="str">
            <v>815 x 405 (32.1" x 15.9")</v>
          </cell>
          <cell r="AD24">
            <v>3</v>
          </cell>
          <cell r="AE24" t="str">
            <v>左</v>
          </cell>
          <cell r="AF24" t="str">
            <v>中</v>
          </cell>
          <cell r="AG24" t="str">
            <v>右</v>
          </cell>
          <cell r="AJ24">
            <v>17.28</v>
          </cell>
          <cell r="AK24">
            <v>9.7200000000000006</v>
          </cell>
          <cell r="AL24">
            <v>17.28</v>
          </cell>
          <cell r="AM24">
            <v>0</v>
          </cell>
          <cell r="AN24">
            <v>0</v>
          </cell>
          <cell r="AO24">
            <v>0</v>
          </cell>
          <cell r="AP24">
            <v>0</v>
          </cell>
          <cell r="AQ24">
            <v>0</v>
          </cell>
          <cell r="AR24">
            <v>0</v>
          </cell>
          <cell r="AS24">
            <v>0</v>
          </cell>
          <cell r="AT24">
            <v>4.8</v>
          </cell>
          <cell r="AU24">
            <v>2.7</v>
          </cell>
          <cell r="AV24">
            <v>4.8</v>
          </cell>
          <cell r="BD24">
            <v>16396.595744639999</v>
          </cell>
          <cell r="BE24">
            <v>9223.0851063600003</v>
          </cell>
          <cell r="BF24">
            <v>16396.595744639999</v>
          </cell>
          <cell r="BG24">
            <v>0</v>
          </cell>
          <cell r="BH24">
            <v>0</v>
          </cell>
          <cell r="BI24">
            <v>0</v>
          </cell>
          <cell r="BJ24">
            <v>0</v>
          </cell>
          <cell r="BK24">
            <v>0</v>
          </cell>
          <cell r="BL24">
            <v>0</v>
          </cell>
          <cell r="BM24">
            <v>0</v>
          </cell>
          <cell r="BN24">
            <v>4.5100800000000003</v>
          </cell>
          <cell r="BO24">
            <v>2.5369200000000003</v>
          </cell>
          <cell r="BP24">
            <v>4.5100800000000003</v>
          </cell>
          <cell r="BQ24">
            <v>0</v>
          </cell>
          <cell r="BR24">
            <v>0</v>
          </cell>
          <cell r="BS24">
            <v>0</v>
          </cell>
          <cell r="BT24">
            <v>0</v>
          </cell>
          <cell r="BU24">
            <v>0</v>
          </cell>
          <cell r="BV24">
            <v>0</v>
          </cell>
          <cell r="BW24">
            <v>0</v>
          </cell>
          <cell r="BX24" t="str">
            <v>不可以</v>
          </cell>
          <cell r="BY24" t="str">
            <v>不可以</v>
          </cell>
          <cell r="BZ24" t="str">
            <v>不可以</v>
          </cell>
          <cell r="CC24" t="str">
            <v>火力強大，市面玻璃面爐中最大。爐頭座(Burner Base)為表面鍍鉻(Chromium Plated)生鐵 (Cast Iron)物料，美觀耐用，不易變形，，黑金玻璃面配備金色銅合金爐頭環，而白色玻璃則配表鍍鉻銅合金，燃燒時不易變黑，爐底溫度特低，不會燙手。</v>
          </cell>
          <cell r="CD24" t="str">
            <v>不適用</v>
          </cell>
          <cell r="CE24" t="str">
            <v>一枚D型1.5V</v>
          </cell>
          <cell r="CF24" t="str">
            <v>資料不詳</v>
          </cell>
          <cell r="CG24" t="str">
            <v>白色強化玻璃
黑色強化玻璃</v>
          </cell>
          <cell r="CH24" t="str">
            <v>旋鈕式</v>
          </cell>
          <cell r="CI24" t="str">
            <v>旋鈕式</v>
          </cell>
          <cell r="CJ24" t="str">
            <v>雙環 x 2</v>
          </cell>
          <cell r="CK24" t="str">
            <v>單環</v>
          </cell>
          <cell r="CL24" t="str">
            <v>不適用</v>
          </cell>
          <cell r="CM24" t="str">
            <v>不適用</v>
          </cell>
          <cell r="CN24" t="str">
            <v>不適用</v>
          </cell>
          <cell r="CO24" t="str">
            <v>不適用</v>
          </cell>
          <cell r="CP24" t="str">
            <v>不適用</v>
          </cell>
          <cell r="CQ24" t="str">
            <v>不適用</v>
          </cell>
          <cell r="CR24" t="str">
            <v>圓形五邊承托架</v>
          </cell>
          <cell r="CS24" t="str">
            <v>不適用</v>
          </cell>
          <cell r="CT24" t="str">
            <v>不適用</v>
          </cell>
          <cell r="CU24" t="str">
            <v>請按此處</v>
          </cell>
          <cell r="CW24">
            <v>0</v>
          </cell>
          <cell r="CX24"/>
        </row>
        <row r="25">
          <cell r="A25" t="str">
            <v>TB703</v>
          </cell>
          <cell r="B25" t="str">
            <v>停售</v>
          </cell>
          <cell r="E25" t="str">
            <v>Tecnogas</v>
          </cell>
          <cell r="F25" t="str">
            <v>TB703</v>
          </cell>
          <cell r="K25" t="str">
            <v>2000年3月7日</v>
          </cell>
          <cell r="L25" t="str">
            <v>資料不詳</v>
          </cell>
          <cell r="M25" t="str">
            <v>意大利</v>
          </cell>
          <cell r="N25" t="str">
            <v>已停售</v>
          </cell>
          <cell r="O25" t="str">
            <v>請按此處</v>
          </cell>
          <cell r="P25">
            <v>47</v>
          </cell>
          <cell r="Q25">
            <v>1.8503937007874016</v>
          </cell>
          <cell r="R25">
            <v>55</v>
          </cell>
          <cell r="S25">
            <v>2.1653543307086616</v>
          </cell>
          <cell r="U25">
            <v>0</v>
          </cell>
          <cell r="V25">
            <v>730</v>
          </cell>
          <cell r="W25">
            <v>28.740157480314963</v>
          </cell>
          <cell r="X25">
            <v>430</v>
          </cell>
          <cell r="Y25">
            <v>16.929133858267718</v>
          </cell>
          <cell r="AA25">
            <v>0</v>
          </cell>
          <cell r="AC25" t="str">
            <v>703 x 403 (116) (27.7" x 15.9")</v>
          </cell>
          <cell r="AD25">
            <v>3</v>
          </cell>
          <cell r="AE25" t="str">
            <v>左</v>
          </cell>
          <cell r="AF25" t="str">
            <v>中</v>
          </cell>
          <cell r="AG25" t="str">
            <v>右</v>
          </cell>
          <cell r="AJ25">
            <v>7.2</v>
          </cell>
          <cell r="AK25">
            <v>4.32</v>
          </cell>
          <cell r="AL25">
            <v>14.4</v>
          </cell>
          <cell r="AM25">
            <v>0</v>
          </cell>
          <cell r="AN25">
            <v>0</v>
          </cell>
          <cell r="AO25">
            <v>0</v>
          </cell>
          <cell r="AP25">
            <v>0</v>
          </cell>
          <cell r="AQ25">
            <v>0</v>
          </cell>
          <cell r="AR25">
            <v>0</v>
          </cell>
          <cell r="AS25">
            <v>0</v>
          </cell>
          <cell r="AT25">
            <v>2</v>
          </cell>
          <cell r="AU25">
            <v>1.2</v>
          </cell>
          <cell r="AV25">
            <v>4</v>
          </cell>
          <cell r="BD25">
            <v>6831.9148936000001</v>
          </cell>
          <cell r="BE25">
            <v>4099.1489361599997</v>
          </cell>
          <cell r="BF25">
            <v>13663.8297872</v>
          </cell>
          <cell r="BG25">
            <v>0</v>
          </cell>
          <cell r="BH25">
            <v>0</v>
          </cell>
          <cell r="BI25">
            <v>0</v>
          </cell>
          <cell r="BJ25">
            <v>0</v>
          </cell>
          <cell r="BK25">
            <v>0</v>
          </cell>
          <cell r="BL25">
            <v>0</v>
          </cell>
          <cell r="BM25">
            <v>0</v>
          </cell>
          <cell r="BN25">
            <v>1.8792000000000002</v>
          </cell>
          <cell r="BO25">
            <v>1.1275200000000001</v>
          </cell>
          <cell r="BP25">
            <v>3.7584000000000004</v>
          </cell>
          <cell r="BQ25">
            <v>0</v>
          </cell>
          <cell r="BR25">
            <v>0</v>
          </cell>
          <cell r="BS25">
            <v>0</v>
          </cell>
          <cell r="BT25">
            <v>0</v>
          </cell>
          <cell r="BU25">
            <v>0</v>
          </cell>
          <cell r="BV25">
            <v>0</v>
          </cell>
          <cell r="BW25">
            <v>0</v>
          </cell>
          <cell r="BX25" t="str">
            <v>不可以</v>
          </cell>
          <cell r="BY25" t="str">
            <v>不可以</v>
          </cell>
          <cell r="BZ25" t="str">
            <v>不可以</v>
          </cell>
          <cell r="CD25" t="str">
            <v>220V,13A</v>
          </cell>
          <cell r="CE25" t="str">
            <v>不適用</v>
          </cell>
          <cell r="CF25" t="str">
            <v>不適用</v>
          </cell>
          <cell r="CG25" t="str">
            <v>白色搪瓷
不銹鋼</v>
          </cell>
          <cell r="CH25" t="str">
            <v>旋鈕式</v>
          </cell>
          <cell r="CI25" t="str">
            <v>旋鈕式</v>
          </cell>
          <cell r="CJ25" t="str">
            <v>三環</v>
          </cell>
          <cell r="CK25" t="str">
            <v>雙環</v>
          </cell>
          <cell r="CL25" t="str">
            <v>不適用</v>
          </cell>
          <cell r="CM25" t="str">
            <v>單環</v>
          </cell>
          <cell r="CN25" t="str">
            <v>不適用</v>
          </cell>
          <cell r="CO25" t="str">
            <v>不適用</v>
          </cell>
          <cell r="CP25" t="str">
            <v>不適用</v>
          </cell>
          <cell r="CQ25" t="str">
            <v>不適用</v>
          </cell>
          <cell r="CR25" t="str">
            <v>方形圓角六邊承托架 x 1，方形圓角四邊承托架 x 2</v>
          </cell>
          <cell r="CS25" t="str">
            <v>請按此處</v>
          </cell>
          <cell r="CT25" t="str">
            <v>不適用</v>
          </cell>
          <cell r="CU25" t="str">
            <v>不適用</v>
          </cell>
          <cell r="CW25">
            <v>0</v>
          </cell>
          <cell r="CX25"/>
        </row>
        <row r="26">
          <cell r="A26" t="str">
            <v>TB3G</v>
          </cell>
          <cell r="B26" t="str">
            <v>停售</v>
          </cell>
          <cell r="E26" t="str">
            <v>Tecnogas</v>
          </cell>
          <cell r="F26" t="str">
            <v>TB3G</v>
          </cell>
          <cell r="K26" t="str">
            <v>2000年3月7日</v>
          </cell>
          <cell r="L26" t="str">
            <v>資料不詳</v>
          </cell>
          <cell r="M26" t="str">
            <v>意大利</v>
          </cell>
          <cell r="N26" t="str">
            <v>已停售</v>
          </cell>
          <cell r="O26" t="str">
            <v>請按此處</v>
          </cell>
          <cell r="P26">
            <v>47</v>
          </cell>
          <cell r="Q26">
            <v>1.8503937007874016</v>
          </cell>
          <cell r="R26">
            <v>55</v>
          </cell>
          <cell r="S26">
            <v>2.1653543307086616</v>
          </cell>
          <cell r="U26">
            <v>0</v>
          </cell>
          <cell r="V26">
            <v>780</v>
          </cell>
          <cell r="W26">
            <v>30.708661417322837</v>
          </cell>
          <cell r="X26">
            <v>480</v>
          </cell>
          <cell r="Y26">
            <v>18.897637795275593</v>
          </cell>
          <cell r="AA26">
            <v>0</v>
          </cell>
          <cell r="AC26" t="str">
            <v>703 x 403 (R116) (27.7" x 15.9")</v>
          </cell>
          <cell r="AD26">
            <v>3</v>
          </cell>
          <cell r="AE26" t="str">
            <v>左</v>
          </cell>
          <cell r="AF26" t="str">
            <v>中</v>
          </cell>
          <cell r="AG26" t="str">
            <v>右</v>
          </cell>
          <cell r="AJ26">
            <v>7.2</v>
          </cell>
          <cell r="AK26">
            <v>4.32</v>
          </cell>
          <cell r="AL26">
            <v>14.4</v>
          </cell>
          <cell r="AM26">
            <v>0</v>
          </cell>
          <cell r="AN26">
            <v>0</v>
          </cell>
          <cell r="AO26">
            <v>0</v>
          </cell>
          <cell r="AP26">
            <v>0</v>
          </cell>
          <cell r="AQ26">
            <v>0</v>
          </cell>
          <cell r="AR26">
            <v>0</v>
          </cell>
          <cell r="AS26">
            <v>0</v>
          </cell>
          <cell r="AT26">
            <v>2</v>
          </cell>
          <cell r="AU26">
            <v>1.2</v>
          </cell>
          <cell r="AV26">
            <v>4</v>
          </cell>
          <cell r="BD26">
            <v>6831.9148936000001</v>
          </cell>
          <cell r="BE26">
            <v>4099.1489361599997</v>
          </cell>
          <cell r="BF26">
            <v>13663.8297872</v>
          </cell>
          <cell r="BG26">
            <v>0</v>
          </cell>
          <cell r="BH26">
            <v>0</v>
          </cell>
          <cell r="BI26">
            <v>0</v>
          </cell>
          <cell r="BJ26">
            <v>0</v>
          </cell>
          <cell r="BK26">
            <v>0</v>
          </cell>
          <cell r="BL26">
            <v>0</v>
          </cell>
          <cell r="BM26">
            <v>0</v>
          </cell>
          <cell r="BN26">
            <v>1.8792000000000002</v>
          </cell>
          <cell r="BO26">
            <v>1.1275200000000001</v>
          </cell>
          <cell r="BP26">
            <v>3.7584000000000004</v>
          </cell>
          <cell r="BQ26">
            <v>0</v>
          </cell>
          <cell r="BR26">
            <v>0</v>
          </cell>
          <cell r="BS26">
            <v>0</v>
          </cell>
          <cell r="BT26">
            <v>0</v>
          </cell>
          <cell r="BU26">
            <v>0</v>
          </cell>
          <cell r="BV26">
            <v>0</v>
          </cell>
          <cell r="BW26">
            <v>0</v>
          </cell>
          <cell r="BX26" t="str">
            <v>不可以</v>
          </cell>
          <cell r="BY26" t="str">
            <v>不可以</v>
          </cell>
          <cell r="BZ26" t="str">
            <v>不可以</v>
          </cell>
          <cell r="CD26" t="str">
            <v>不適用</v>
          </cell>
          <cell r="CE26" t="str">
            <v>一枚AA型1.5V</v>
          </cell>
          <cell r="CF26" t="str">
            <v>資料不詳</v>
          </cell>
          <cell r="CG26" t="str">
            <v>白色強化玻璃
黑色強化玻璃</v>
          </cell>
          <cell r="CH26" t="str">
            <v>旋鈕式</v>
          </cell>
          <cell r="CI26" t="str">
            <v>旋鈕式</v>
          </cell>
          <cell r="CJ26" t="str">
            <v>三環</v>
          </cell>
          <cell r="CK26" t="str">
            <v>雙環</v>
          </cell>
          <cell r="CL26" t="str">
            <v>不適用</v>
          </cell>
          <cell r="CM26" t="str">
            <v>單環</v>
          </cell>
          <cell r="CN26" t="str">
            <v>不適用</v>
          </cell>
          <cell r="CO26" t="str">
            <v>不適用</v>
          </cell>
          <cell r="CP26" t="str">
            <v>不適用</v>
          </cell>
          <cell r="CQ26" t="str">
            <v>不適用</v>
          </cell>
          <cell r="CR26" t="str">
            <v>圓形四邊承托架</v>
          </cell>
          <cell r="CS26" t="str">
            <v>請按此處</v>
          </cell>
          <cell r="CT26" t="str">
            <v>不適用</v>
          </cell>
          <cell r="CU26" t="str">
            <v>不適用</v>
          </cell>
          <cell r="CW26">
            <v>0</v>
          </cell>
          <cell r="CX26"/>
        </row>
        <row r="27">
          <cell r="A27" t="str">
            <v>TB903</v>
          </cell>
          <cell r="B27" t="str">
            <v>停售</v>
          </cell>
          <cell r="E27" t="str">
            <v>Tecnogas</v>
          </cell>
          <cell r="F27" t="str">
            <v>TB903</v>
          </cell>
          <cell r="K27" t="str">
            <v>1998年9月18日</v>
          </cell>
          <cell r="L27" t="str">
            <v>2006年1月25日</v>
          </cell>
          <cell r="M27" t="str">
            <v>意大利</v>
          </cell>
          <cell r="N27" t="str">
            <v>已停售</v>
          </cell>
          <cell r="O27" t="str">
            <v>請按此處</v>
          </cell>
          <cell r="P27">
            <v>47</v>
          </cell>
          <cell r="Q27">
            <v>1.8503937007874016</v>
          </cell>
          <cell r="R27">
            <v>52</v>
          </cell>
          <cell r="S27">
            <v>2.0472440944881889</v>
          </cell>
          <cell r="T27">
            <v>80</v>
          </cell>
          <cell r="U27">
            <v>3.1496062992125986</v>
          </cell>
          <cell r="V27">
            <v>860</v>
          </cell>
          <cell r="W27">
            <v>33.858267716535437</v>
          </cell>
          <cell r="X27">
            <v>500</v>
          </cell>
          <cell r="Y27">
            <v>19.685039370078741</v>
          </cell>
          <cell r="AA27">
            <v>0</v>
          </cell>
          <cell r="AC27" t="str">
            <v>835 x 475 (R116) (32.9" x 18.7")</v>
          </cell>
          <cell r="AD27">
            <v>3</v>
          </cell>
          <cell r="AE27" t="str">
            <v>左 (炒鑊)</v>
          </cell>
          <cell r="AF27" t="str">
            <v>中 (細爐)</v>
          </cell>
          <cell r="AG27" t="str">
            <v>右 (中爐)</v>
          </cell>
          <cell r="AJ27">
            <v>14.4</v>
          </cell>
          <cell r="AK27">
            <v>5.4</v>
          </cell>
          <cell r="AL27">
            <v>9</v>
          </cell>
          <cell r="AM27">
            <v>0</v>
          </cell>
          <cell r="AN27">
            <v>0</v>
          </cell>
          <cell r="AO27">
            <v>0</v>
          </cell>
          <cell r="AP27">
            <v>0</v>
          </cell>
          <cell r="AQ27">
            <v>0</v>
          </cell>
          <cell r="AR27">
            <v>0</v>
          </cell>
          <cell r="AS27">
            <v>0</v>
          </cell>
          <cell r="AT27">
            <v>4</v>
          </cell>
          <cell r="AU27">
            <v>1.5</v>
          </cell>
          <cell r="AV27">
            <v>2.5</v>
          </cell>
          <cell r="BD27">
            <v>13663.8297872</v>
          </cell>
          <cell r="BE27">
            <v>5123.9361702000006</v>
          </cell>
          <cell r="BF27">
            <v>8539.8936169999997</v>
          </cell>
          <cell r="BG27">
            <v>0</v>
          </cell>
          <cell r="BH27">
            <v>0</v>
          </cell>
          <cell r="BI27">
            <v>0</v>
          </cell>
          <cell r="BJ27">
            <v>0</v>
          </cell>
          <cell r="BK27">
            <v>0</v>
          </cell>
          <cell r="BL27">
            <v>0</v>
          </cell>
          <cell r="BM27">
            <v>0</v>
          </cell>
          <cell r="BN27">
            <v>3.7584000000000004</v>
          </cell>
          <cell r="BO27">
            <v>1.4094000000000002</v>
          </cell>
          <cell r="BP27">
            <v>2.3490000000000002</v>
          </cell>
          <cell r="BQ27">
            <v>0</v>
          </cell>
          <cell r="BR27">
            <v>0</v>
          </cell>
          <cell r="BS27">
            <v>0</v>
          </cell>
          <cell r="BT27">
            <v>0</v>
          </cell>
          <cell r="BU27">
            <v>0</v>
          </cell>
          <cell r="BV27">
            <v>0</v>
          </cell>
          <cell r="BW27">
            <v>0</v>
          </cell>
          <cell r="BX27" t="str">
            <v>不可以</v>
          </cell>
          <cell r="BY27" t="str">
            <v>不可以</v>
          </cell>
          <cell r="BZ27" t="str">
            <v>不可以</v>
          </cell>
          <cell r="CD27" t="str">
            <v>220V,13A</v>
          </cell>
          <cell r="CE27" t="str">
            <v>不適用</v>
          </cell>
          <cell r="CF27" t="str">
            <v>不適用</v>
          </cell>
          <cell r="CG27" t="str">
            <v>白色搪瓷
不銹鋼</v>
          </cell>
          <cell r="CH27" t="str">
            <v>旋鈕式</v>
          </cell>
          <cell r="CI27" t="str">
            <v>旋鈕式</v>
          </cell>
          <cell r="CJ27" t="str">
            <v>三環</v>
          </cell>
          <cell r="CK27" t="str">
            <v>單環</v>
          </cell>
          <cell r="CL27" t="str">
            <v>不適用</v>
          </cell>
          <cell r="CM27" t="str">
            <v>單環</v>
          </cell>
          <cell r="CN27" t="str">
            <v>不適用</v>
          </cell>
          <cell r="CO27" t="str">
            <v>不適用</v>
          </cell>
          <cell r="CP27" t="str">
            <v>不適用</v>
          </cell>
          <cell r="CQ27" t="str">
            <v>不適用</v>
          </cell>
          <cell r="CR27" t="str">
            <v>長形爐架</v>
          </cell>
          <cell r="CS27" t="str">
            <v>請按此處</v>
          </cell>
          <cell r="CT27" t="str">
            <v>不適用</v>
          </cell>
          <cell r="CU27" t="str">
            <v>請按此處</v>
          </cell>
          <cell r="CW27">
            <v>0</v>
          </cell>
          <cell r="CX27"/>
        </row>
        <row r="28">
          <cell r="A28" t="str">
            <v>RB903CMB</v>
          </cell>
          <cell r="B28" t="str">
            <v>停售</v>
          </cell>
          <cell r="E28" t="str">
            <v xml:space="preserve">TGC </v>
          </cell>
          <cell r="F28" t="str">
            <v>RB903CMB</v>
          </cell>
          <cell r="I28" t="str">
            <v>操作資料</v>
          </cell>
          <cell r="K28" t="str">
            <v>2003年6月3日</v>
          </cell>
          <cell r="L28" t="str">
            <v>資料不詳</v>
          </cell>
          <cell r="M28" t="str">
            <v>印尼</v>
          </cell>
          <cell r="N28" t="str">
            <v>已停售</v>
          </cell>
          <cell r="O28" t="str">
            <v>請按此處</v>
          </cell>
          <cell r="P28">
            <v>65</v>
          </cell>
          <cell r="Q28">
            <v>2.5590551181102366</v>
          </cell>
          <cell r="R28">
            <v>77</v>
          </cell>
          <cell r="S28">
            <v>3.0314960629921264</v>
          </cell>
          <cell r="T28">
            <v>115</v>
          </cell>
          <cell r="U28">
            <v>4.5275590551181102</v>
          </cell>
          <cell r="V28">
            <v>867</v>
          </cell>
          <cell r="W28">
            <v>34.133858267716541</v>
          </cell>
          <cell r="X28">
            <v>507</v>
          </cell>
          <cell r="Y28">
            <v>19.960629921259844</v>
          </cell>
          <cell r="Z28">
            <v>400</v>
          </cell>
          <cell r="AA28">
            <v>15.748031496062993</v>
          </cell>
          <cell r="AC28" t="str">
            <v>835 x 475 (32.9" x 18.7")</v>
          </cell>
          <cell r="AD28">
            <v>3</v>
          </cell>
          <cell r="AE28" t="str">
            <v>左 (炒鑊)</v>
          </cell>
          <cell r="AF28" t="str">
            <v>右上 (智能)</v>
          </cell>
          <cell r="AG28" t="str">
            <v>右下 (中爐)</v>
          </cell>
          <cell r="AJ28">
            <v>18</v>
          </cell>
          <cell r="AK28">
            <v>9.7200000000000006</v>
          </cell>
          <cell r="AL28">
            <v>9.7200000000000006</v>
          </cell>
          <cell r="AM28">
            <v>0</v>
          </cell>
          <cell r="AN28">
            <v>0</v>
          </cell>
          <cell r="AO28">
            <v>0</v>
          </cell>
          <cell r="AP28">
            <v>0</v>
          </cell>
          <cell r="AQ28">
            <v>0</v>
          </cell>
          <cell r="AR28">
            <v>0</v>
          </cell>
          <cell r="AS28">
            <v>0</v>
          </cell>
          <cell r="AT28">
            <v>5</v>
          </cell>
          <cell r="AU28">
            <v>2.7</v>
          </cell>
          <cell r="AV28">
            <v>2.7</v>
          </cell>
          <cell r="BD28">
            <v>17079.787233999999</v>
          </cell>
          <cell r="BE28">
            <v>9223.0851063600003</v>
          </cell>
          <cell r="BF28">
            <v>9223.0851063600003</v>
          </cell>
          <cell r="BG28">
            <v>0</v>
          </cell>
          <cell r="BH28">
            <v>0</v>
          </cell>
          <cell r="BI28">
            <v>0</v>
          </cell>
          <cell r="BJ28">
            <v>0</v>
          </cell>
          <cell r="BK28">
            <v>0</v>
          </cell>
          <cell r="BL28">
            <v>0</v>
          </cell>
          <cell r="BM28">
            <v>0</v>
          </cell>
          <cell r="BN28">
            <v>4.6980000000000004</v>
          </cell>
          <cell r="BO28">
            <v>2.5369200000000003</v>
          </cell>
          <cell r="BP28">
            <v>2.5369200000000003</v>
          </cell>
          <cell r="BQ28">
            <v>0</v>
          </cell>
          <cell r="BR28">
            <v>0</v>
          </cell>
          <cell r="BS28">
            <v>0</v>
          </cell>
          <cell r="BT28">
            <v>0</v>
          </cell>
          <cell r="BU28">
            <v>0</v>
          </cell>
          <cell r="BV28">
            <v>0</v>
          </cell>
          <cell r="BW28">
            <v>0</v>
          </cell>
          <cell r="BX28" t="str">
            <v>可以</v>
          </cell>
          <cell r="BY28" t="str">
            <v>不可以</v>
          </cell>
          <cell r="BZ28" t="str">
            <v>不可以</v>
          </cell>
          <cell r="CC28" t="str">
            <v>(1) 智能爐頭備有煎炸(可調校160度、180度、200度)
(2) 270度自動熄火 
(3) 煮飯(飯煮自動熄火) 
(4) 煲水，水滾後自動收細火，並於5分鐘後自動熄火
(5) 更換電池提示燈 
(6) 3小時自動熄火裝置。</v>
          </cell>
          <cell r="CD28" t="str">
            <v>不適用</v>
          </cell>
          <cell r="CE28" t="str">
            <v>兩枚D型1.5V</v>
          </cell>
          <cell r="CF28" t="str">
            <v>左前方</v>
          </cell>
          <cell r="CG28" t="str">
            <v>白色搪瓷
灰色搪瓷
不銹鋼</v>
          </cell>
          <cell r="CH28" t="str">
            <v>旋鈕式</v>
          </cell>
          <cell r="CI28" t="str">
            <v>旋鈕式</v>
          </cell>
          <cell r="CJ28" t="str">
            <v>雙環</v>
          </cell>
          <cell r="CK28" t="str">
            <v>雙環</v>
          </cell>
          <cell r="CL28" t="str">
            <v>不適用</v>
          </cell>
          <cell r="CM28" t="str">
            <v>不適用</v>
          </cell>
          <cell r="CN28" t="str">
            <v>不適用</v>
          </cell>
          <cell r="CO28" t="str">
            <v>單環</v>
          </cell>
          <cell r="CP28" t="str">
            <v>不適用</v>
          </cell>
          <cell r="CQ28" t="str">
            <v>不適用</v>
          </cell>
          <cell r="CR28" t="str">
            <v>長形連架</v>
          </cell>
          <cell r="CS28" t="str">
            <v>請按此處</v>
          </cell>
          <cell r="CT28" t="str">
            <v>不適用</v>
          </cell>
          <cell r="CU28" t="str">
            <v>請按此處</v>
          </cell>
          <cell r="CV28">
            <v>13.5</v>
          </cell>
          <cell r="CW28">
            <v>29.700000000000003</v>
          </cell>
          <cell r="CX28"/>
        </row>
        <row r="29">
          <cell r="A29" t="str">
            <v>RB3GM</v>
          </cell>
          <cell r="B29" t="str">
            <v>停售</v>
          </cell>
          <cell r="E29" t="str">
            <v>TGC</v>
          </cell>
          <cell r="F29" t="str">
            <v>RB3GM</v>
          </cell>
          <cell r="I29" t="str">
            <v>操作資料</v>
          </cell>
          <cell r="J29" t="str">
            <v>爐架適配器</v>
          </cell>
          <cell r="K29" t="str">
            <v>2001年8月15日</v>
          </cell>
          <cell r="L29" t="str">
            <v>2009年1月5日</v>
          </cell>
          <cell r="M29" t="str">
            <v>台灣</v>
          </cell>
          <cell r="N29" t="str">
            <v>已停售</v>
          </cell>
          <cell r="O29" t="str">
            <v>請按此處</v>
          </cell>
          <cell r="P29">
            <v>67</v>
          </cell>
          <cell r="Q29">
            <v>2.6377952755905514</v>
          </cell>
          <cell r="R29">
            <v>75</v>
          </cell>
          <cell r="S29">
            <v>2.9527559055118111</v>
          </cell>
          <cell r="U29">
            <v>0</v>
          </cell>
          <cell r="V29">
            <v>860</v>
          </cell>
          <cell r="W29">
            <v>33.858267716535437</v>
          </cell>
          <cell r="X29">
            <v>450</v>
          </cell>
          <cell r="Y29">
            <v>17.716535433070867</v>
          </cell>
          <cell r="AA29">
            <v>0</v>
          </cell>
          <cell r="AC29" t="str">
            <v>815 x 405 (32.1" x 15.9")</v>
          </cell>
          <cell r="AD29">
            <v>3</v>
          </cell>
          <cell r="AE29" t="str">
            <v>左 (智能)</v>
          </cell>
          <cell r="AF29" t="str">
            <v>中 (中爐)</v>
          </cell>
          <cell r="AG29" t="str">
            <v>右 (炒鑊)</v>
          </cell>
          <cell r="AJ29">
            <v>15.264000000000001</v>
          </cell>
          <cell r="AK29">
            <v>9.8279999999999994</v>
          </cell>
          <cell r="AL29">
            <v>17.388000000000002</v>
          </cell>
          <cell r="AM29">
            <v>0</v>
          </cell>
          <cell r="AN29">
            <v>0</v>
          </cell>
          <cell r="AO29">
            <v>0</v>
          </cell>
          <cell r="AP29">
            <v>0</v>
          </cell>
          <cell r="AQ29">
            <v>0</v>
          </cell>
          <cell r="AR29">
            <v>0</v>
          </cell>
          <cell r="AS29">
            <v>0</v>
          </cell>
          <cell r="AT29">
            <v>4.24</v>
          </cell>
          <cell r="AU29">
            <v>2.73</v>
          </cell>
          <cell r="AV29">
            <v>4.83</v>
          </cell>
          <cell r="BD29">
            <v>14483.659574432</v>
          </cell>
          <cell r="BE29">
            <v>9325.5638297639998</v>
          </cell>
          <cell r="BF29">
            <v>16499.074468044</v>
          </cell>
          <cell r="BG29">
            <v>0</v>
          </cell>
          <cell r="BH29">
            <v>0</v>
          </cell>
          <cell r="BI29">
            <v>0</v>
          </cell>
          <cell r="BJ29">
            <v>0</v>
          </cell>
          <cell r="BK29">
            <v>0</v>
          </cell>
          <cell r="BL29">
            <v>0</v>
          </cell>
          <cell r="BM29">
            <v>0</v>
          </cell>
          <cell r="BN29">
            <v>3.9839040000000003</v>
          </cell>
          <cell r="BO29">
            <v>2.5651079999999999</v>
          </cell>
          <cell r="BP29">
            <v>4.5382680000000004</v>
          </cell>
          <cell r="BQ29">
            <v>0</v>
          </cell>
          <cell r="BR29">
            <v>0</v>
          </cell>
          <cell r="BS29">
            <v>0</v>
          </cell>
          <cell r="BT29">
            <v>0</v>
          </cell>
          <cell r="BU29">
            <v>0</v>
          </cell>
          <cell r="BV29">
            <v>0</v>
          </cell>
          <cell r="BW29">
            <v>0</v>
          </cell>
          <cell r="BX29" t="str">
            <v>不可以</v>
          </cell>
          <cell r="BY29" t="str">
            <v>不可以</v>
          </cell>
          <cell r="BZ29" t="str">
            <v>不可以</v>
          </cell>
          <cell r="CC29" t="str">
            <v>(1) 左面智能爐頭
(2) 智能爐頭備有煎炸(可調校160度、180度、200度)
(3) 270度自動熄火 
(4) 煮飯(飯煮自動熄火) 
(5) 煲水，水滾後自動收細火，並於5分鐘後自動熄火
(6) 更換電池提示燈 
(7) 3小時自動熄火裝置</v>
          </cell>
          <cell r="CD29" t="str">
            <v>不適用</v>
          </cell>
          <cell r="CE29" t="str">
            <v>兩枚D型1.5V</v>
          </cell>
          <cell r="CF29" t="str">
            <v>爐底中央近左前方</v>
          </cell>
          <cell r="CG29" t="str">
            <v>黑色強化玻璃
白色強化玻璃</v>
          </cell>
          <cell r="CH29" t="str">
            <v>旋鈕式</v>
          </cell>
          <cell r="CI29" t="str">
            <v>旋鈕式</v>
          </cell>
          <cell r="CJ29" t="str">
            <v>雙環</v>
          </cell>
          <cell r="CK29" t="str">
            <v>單環</v>
          </cell>
          <cell r="CL29" t="str">
            <v>不適用</v>
          </cell>
          <cell r="CM29" t="str">
            <v>不適用</v>
          </cell>
          <cell r="CN29" t="str">
            <v>不適用</v>
          </cell>
          <cell r="CO29" t="str">
            <v>單環</v>
          </cell>
          <cell r="CP29" t="str">
            <v>不適用</v>
          </cell>
          <cell r="CQ29" t="str">
            <v>不適用</v>
          </cell>
          <cell r="CR29" t="str">
            <v>圓形五邊承托架</v>
          </cell>
          <cell r="CS29" t="str">
            <v>請按此處</v>
          </cell>
          <cell r="CT29" t="str">
            <v>不適用</v>
          </cell>
          <cell r="CU29" t="str">
            <v>請按此處</v>
          </cell>
          <cell r="CW29">
            <v>0</v>
          </cell>
          <cell r="CX29" t="str">
            <v>爐頭蓋有金色﹝拋光銅合金﹞、銀色﹝鍍鉻銅合金 Chromium plated﹞和黑色﹝陶瓷表面處理 Ceramic coated﹞，可供選擇。</v>
          </cell>
        </row>
        <row r="30">
          <cell r="A30" t="str">
            <v>RB3FB</v>
          </cell>
          <cell r="B30" t="str">
            <v>停售</v>
          </cell>
          <cell r="E30" t="str">
            <v>TGC</v>
          </cell>
          <cell r="F30" t="str">
            <v>RB3FB</v>
          </cell>
          <cell r="K30" t="str">
            <v>2002年4月18日</v>
          </cell>
          <cell r="L30" t="str">
            <v>2007年10月29日</v>
          </cell>
          <cell r="M30" t="str">
            <v>台灣</v>
          </cell>
          <cell r="N30" t="str">
            <v>已停售</v>
          </cell>
          <cell r="O30" t="str">
            <v>請按此處</v>
          </cell>
          <cell r="P30">
            <v>55</v>
          </cell>
          <cell r="Q30">
            <v>2.1653543307086616</v>
          </cell>
          <cell r="R30">
            <v>63</v>
          </cell>
          <cell r="S30">
            <v>2.4803149606299213</v>
          </cell>
          <cell r="U30">
            <v>0</v>
          </cell>
          <cell r="V30">
            <v>860</v>
          </cell>
          <cell r="W30">
            <v>33.858267716535437</v>
          </cell>
          <cell r="X30">
            <v>450</v>
          </cell>
          <cell r="Y30">
            <v>17.716535433070867</v>
          </cell>
          <cell r="AA30">
            <v>0</v>
          </cell>
          <cell r="AC30" t="str">
            <v>815 x 405 (32.1" x 15.9")</v>
          </cell>
          <cell r="AD30">
            <v>3</v>
          </cell>
          <cell r="AE30" t="str">
            <v>左 (炒鑊)</v>
          </cell>
          <cell r="AF30" t="str">
            <v>中 (中爐)</v>
          </cell>
          <cell r="AG30" t="str">
            <v>右 (炒鑊)</v>
          </cell>
          <cell r="AJ30">
            <v>17.28</v>
          </cell>
          <cell r="AK30">
            <v>9.7200000000000006</v>
          </cell>
          <cell r="AL30">
            <v>17.28</v>
          </cell>
          <cell r="AM30">
            <v>0</v>
          </cell>
          <cell r="AN30">
            <v>0</v>
          </cell>
          <cell r="AO30">
            <v>0</v>
          </cell>
          <cell r="AP30">
            <v>0</v>
          </cell>
          <cell r="AQ30">
            <v>0</v>
          </cell>
          <cell r="AR30">
            <v>0</v>
          </cell>
          <cell r="AS30">
            <v>0</v>
          </cell>
          <cell r="AT30">
            <v>4.8</v>
          </cell>
          <cell r="AU30">
            <v>2.7</v>
          </cell>
          <cell r="AV30">
            <v>4.8</v>
          </cell>
          <cell r="BD30">
            <v>16396.595744639999</v>
          </cell>
          <cell r="BE30">
            <v>9223.0851063600003</v>
          </cell>
          <cell r="BF30">
            <v>16396.595744639999</v>
          </cell>
          <cell r="BG30">
            <v>0</v>
          </cell>
          <cell r="BH30">
            <v>0</v>
          </cell>
          <cell r="BI30">
            <v>0</v>
          </cell>
          <cell r="BJ30">
            <v>0</v>
          </cell>
          <cell r="BK30">
            <v>0</v>
          </cell>
          <cell r="BL30">
            <v>0</v>
          </cell>
          <cell r="BM30">
            <v>0</v>
          </cell>
          <cell r="BN30">
            <v>4.5100800000000003</v>
          </cell>
          <cell r="BO30">
            <v>2.5369200000000003</v>
          </cell>
          <cell r="BP30">
            <v>4.5100800000000003</v>
          </cell>
          <cell r="BQ30">
            <v>0</v>
          </cell>
          <cell r="BR30">
            <v>0</v>
          </cell>
          <cell r="BS30">
            <v>0</v>
          </cell>
          <cell r="BT30">
            <v>0</v>
          </cell>
          <cell r="BU30">
            <v>0</v>
          </cell>
          <cell r="BV30">
            <v>0</v>
          </cell>
          <cell r="BW30">
            <v>0</v>
          </cell>
          <cell r="BX30" t="str">
            <v>不可以</v>
          </cell>
          <cell r="BY30" t="str">
            <v>不可以</v>
          </cell>
          <cell r="BZ30" t="str">
            <v>不可以</v>
          </cell>
          <cell r="CC30" t="str">
            <v>特大火力比起一般市面的嵌入式爐頭更適合講究鑊氣的中式烹飪</v>
          </cell>
          <cell r="CD30" t="str">
            <v>不適用</v>
          </cell>
          <cell r="CE30" t="str">
            <v>一枚D型1.5V</v>
          </cell>
          <cell r="CF30" t="str">
            <v>爐底右後方</v>
          </cell>
          <cell r="CG30" t="str">
            <v>金色易潔面
銀色易潔面</v>
          </cell>
          <cell r="CH30" t="str">
            <v>旋鈕式</v>
          </cell>
          <cell r="CI30" t="str">
            <v>旋鈕式</v>
          </cell>
          <cell r="CJ30" t="str">
            <v>雙環 x 2</v>
          </cell>
          <cell r="CK30" t="str">
            <v>單環</v>
          </cell>
          <cell r="CL30" t="str">
            <v>不適用</v>
          </cell>
          <cell r="CM30" t="str">
            <v>不適用</v>
          </cell>
          <cell r="CN30" t="str">
            <v>不適用</v>
          </cell>
          <cell r="CO30" t="str">
            <v>不適用</v>
          </cell>
          <cell r="CP30" t="str">
            <v>不適用</v>
          </cell>
          <cell r="CQ30" t="str">
            <v>不適用</v>
          </cell>
          <cell r="CR30" t="str">
            <v>圓形五邊承托架</v>
          </cell>
          <cell r="CS30" t="str">
            <v>請按此處</v>
          </cell>
          <cell r="CT30" t="str">
            <v>不適用</v>
          </cell>
          <cell r="CU30" t="str">
            <v>請按此處</v>
          </cell>
          <cell r="CV30">
            <v>18.7</v>
          </cell>
          <cell r="CW30">
            <v>41.14</v>
          </cell>
          <cell r="CX30" t="str">
            <v>爐頭蓋分別有拋光金色及鍍鉻銀色，配合同色的特硬“Teflon”金屬爐碟和獨有超平爐面。
爐頭座﹝Burner Base﹞為表面鍍鉻﹝Chromium Plated﹞生鐵﹝Cast Lron﹞物料。</v>
          </cell>
        </row>
        <row r="31">
          <cell r="A31" t="str">
            <v>RB4EA</v>
          </cell>
          <cell r="B31" t="str">
            <v>停售</v>
          </cell>
          <cell r="E31" t="str">
            <v>Rinnai</v>
          </cell>
          <cell r="F31" t="str">
            <v>RB4EA</v>
          </cell>
          <cell r="I31" t="str">
            <v>操作資料</v>
          </cell>
          <cell r="K31" t="str">
            <v>1998年8月18日</v>
          </cell>
          <cell r="L31" t="str">
            <v>資料不詳</v>
          </cell>
          <cell r="M31" t="str">
            <v>印尼</v>
          </cell>
          <cell r="N31" t="str">
            <v>已停售</v>
          </cell>
          <cell r="O31" t="str">
            <v>請按此處</v>
          </cell>
          <cell r="Q31">
            <v>0</v>
          </cell>
          <cell r="R31">
            <v>77</v>
          </cell>
          <cell r="S31">
            <v>3.0314960629921264</v>
          </cell>
          <cell r="T31">
            <v>115</v>
          </cell>
          <cell r="U31">
            <v>4.5275590551181102</v>
          </cell>
          <cell r="V31">
            <v>867</v>
          </cell>
          <cell r="W31">
            <v>34.133858267716541</v>
          </cell>
          <cell r="X31">
            <v>507</v>
          </cell>
          <cell r="Y31">
            <v>19.960629921259844</v>
          </cell>
          <cell r="AA31">
            <v>0</v>
          </cell>
          <cell r="AC31" t="str">
            <v>835 x 475 (32.9" x 18.7")</v>
          </cell>
          <cell r="AD31">
            <v>4</v>
          </cell>
          <cell r="AE31" t="str">
            <v>左下 (炒鑊)</v>
          </cell>
          <cell r="AF31" t="str">
            <v>左上 (細爐)</v>
          </cell>
          <cell r="AG31" t="str">
            <v>右下 (中爐)</v>
          </cell>
          <cell r="AH31" t="str">
            <v>右上 (中爐)</v>
          </cell>
          <cell r="AJ31">
            <v>17.28</v>
          </cell>
          <cell r="AK31">
            <v>5.04</v>
          </cell>
          <cell r="AL31">
            <v>9.7200000000000006</v>
          </cell>
          <cell r="AM31">
            <v>9.7200000000000006</v>
          </cell>
          <cell r="AN31">
            <v>0</v>
          </cell>
          <cell r="AO31">
            <v>0</v>
          </cell>
          <cell r="AP31">
            <v>0</v>
          </cell>
          <cell r="AQ31">
            <v>0</v>
          </cell>
          <cell r="AR31">
            <v>0</v>
          </cell>
          <cell r="AS31">
            <v>0</v>
          </cell>
          <cell r="AT31">
            <v>4.8</v>
          </cell>
          <cell r="AU31">
            <v>1.4</v>
          </cell>
          <cell r="AV31">
            <v>2.7</v>
          </cell>
          <cell r="AW31">
            <v>2.7</v>
          </cell>
          <cell r="BD31">
            <v>16396.595744639999</v>
          </cell>
          <cell r="BE31">
            <v>4782.3404255199994</v>
          </cell>
          <cell r="BF31">
            <v>9223.0851063600003</v>
          </cell>
          <cell r="BG31">
            <v>9223.0851063600003</v>
          </cell>
          <cell r="BH31">
            <v>0</v>
          </cell>
          <cell r="BI31">
            <v>0</v>
          </cell>
          <cell r="BJ31">
            <v>0</v>
          </cell>
          <cell r="BK31">
            <v>0</v>
          </cell>
          <cell r="BL31">
            <v>0</v>
          </cell>
          <cell r="BM31">
            <v>0</v>
          </cell>
          <cell r="BN31">
            <v>4.5100800000000003</v>
          </cell>
          <cell r="BO31">
            <v>1.3154400000000002</v>
          </cell>
          <cell r="BP31">
            <v>2.5369200000000003</v>
          </cell>
          <cell r="BQ31">
            <v>2.5369200000000003</v>
          </cell>
          <cell r="BR31">
            <v>0</v>
          </cell>
          <cell r="BS31">
            <v>0</v>
          </cell>
          <cell r="BT31">
            <v>0</v>
          </cell>
          <cell r="BU31">
            <v>0</v>
          </cell>
          <cell r="BV31">
            <v>0</v>
          </cell>
          <cell r="BW31">
            <v>0</v>
          </cell>
          <cell r="BX31" t="str">
            <v>不可以</v>
          </cell>
          <cell r="BY31" t="str">
            <v>不可以</v>
          </cell>
          <cell r="BZ31" t="str">
            <v>不可以</v>
          </cell>
          <cell r="CA31" t="str">
            <v>不可以</v>
          </cell>
          <cell r="CD31" t="str">
            <v>220V,13A</v>
          </cell>
          <cell r="CE31" t="str">
            <v>不適用</v>
          </cell>
          <cell r="CF31" t="str">
            <v>不適用</v>
          </cell>
          <cell r="CG31" t="str">
            <v>白色搪瓷
不銹鋼</v>
          </cell>
          <cell r="CH31" t="str">
            <v>旋鈕式</v>
          </cell>
          <cell r="CI31" t="str">
            <v>旋鈕式</v>
          </cell>
          <cell r="CJ31" t="str">
            <v>雙環</v>
          </cell>
          <cell r="CK31" t="str">
            <v>雙環</v>
          </cell>
          <cell r="CL31" t="str">
            <v>雙環</v>
          </cell>
          <cell r="CM31" t="str">
            <v>單環</v>
          </cell>
          <cell r="CN31" t="str">
            <v>不適用</v>
          </cell>
          <cell r="CO31" t="str">
            <v>不適用</v>
          </cell>
          <cell r="CP31" t="str">
            <v>不適用</v>
          </cell>
          <cell r="CQ31" t="str">
            <v>不適用</v>
          </cell>
          <cell r="CR31" t="str">
            <v>長形連架 x 2，輔助承托架 x 1</v>
          </cell>
          <cell r="CS31" t="str">
            <v>請按此處</v>
          </cell>
          <cell r="CT31" t="str">
            <v>不適用</v>
          </cell>
          <cell r="CU31" t="str">
            <v>不適用</v>
          </cell>
          <cell r="CV31">
            <v>14</v>
          </cell>
          <cell r="CW31">
            <v>30.800000000000004</v>
          </cell>
          <cell r="CX31"/>
        </row>
        <row r="32">
          <cell r="A32" t="str">
            <v>RB904M</v>
          </cell>
          <cell r="B32" t="str">
            <v>停售</v>
          </cell>
          <cell r="E32" t="str">
            <v>Rinnai</v>
          </cell>
          <cell r="F32" t="str">
            <v>RB904M</v>
          </cell>
          <cell r="I32" t="str">
            <v>操作資料</v>
          </cell>
          <cell r="K32" t="str">
            <v>1999年1月18日</v>
          </cell>
          <cell r="L32" t="str">
            <v>資料不詳</v>
          </cell>
          <cell r="M32" t="str">
            <v>印尼</v>
          </cell>
          <cell r="N32" t="str">
            <v>已停售</v>
          </cell>
          <cell r="O32" t="str">
            <v>請按此處</v>
          </cell>
          <cell r="P32">
            <v>55</v>
          </cell>
          <cell r="Q32">
            <v>2.1653543307086616</v>
          </cell>
          <cell r="R32">
            <v>77</v>
          </cell>
          <cell r="S32">
            <v>3.0314960629921264</v>
          </cell>
          <cell r="U32">
            <v>0</v>
          </cell>
          <cell r="V32">
            <v>867</v>
          </cell>
          <cell r="W32">
            <v>34.133858267716541</v>
          </cell>
          <cell r="X32">
            <v>507</v>
          </cell>
          <cell r="Y32">
            <v>19.960629921259844</v>
          </cell>
          <cell r="AA32">
            <v>0</v>
          </cell>
          <cell r="AC32" t="str">
            <v>835 x 475 (32.9" x 18.7")</v>
          </cell>
          <cell r="AD32">
            <v>4</v>
          </cell>
          <cell r="AE32" t="str">
            <v>左下 (炒鑊)</v>
          </cell>
          <cell r="AF32" t="str">
            <v>左上 (中爐)</v>
          </cell>
          <cell r="AG32" t="str">
            <v>右下 (中爐)</v>
          </cell>
          <cell r="AH32" t="str">
            <v>右上 (智能)</v>
          </cell>
          <cell r="AJ32">
            <v>17.28</v>
          </cell>
          <cell r="AK32">
            <v>9.7200000000000006</v>
          </cell>
          <cell r="AL32">
            <v>9.7200000000000006</v>
          </cell>
          <cell r="AM32">
            <v>5.04</v>
          </cell>
          <cell r="AN32">
            <v>0</v>
          </cell>
          <cell r="AO32">
            <v>0</v>
          </cell>
          <cell r="AP32">
            <v>0</v>
          </cell>
          <cell r="AQ32">
            <v>0</v>
          </cell>
          <cell r="AR32">
            <v>0</v>
          </cell>
          <cell r="AS32">
            <v>0</v>
          </cell>
          <cell r="AT32">
            <v>4.8</v>
          </cell>
          <cell r="AU32">
            <v>2.7</v>
          </cell>
          <cell r="AV32">
            <v>2.7</v>
          </cell>
          <cell r="AW32">
            <v>1.4</v>
          </cell>
          <cell r="BD32">
            <v>16396.595744639999</v>
          </cell>
          <cell r="BE32">
            <v>9223.0851063600003</v>
          </cell>
          <cell r="BF32">
            <v>9223.0851063600003</v>
          </cell>
          <cell r="BG32">
            <v>4782.3404255199994</v>
          </cell>
          <cell r="BH32">
            <v>0</v>
          </cell>
          <cell r="BI32">
            <v>0</v>
          </cell>
          <cell r="BJ32">
            <v>0</v>
          </cell>
          <cell r="BK32">
            <v>0</v>
          </cell>
          <cell r="BL32">
            <v>0</v>
          </cell>
          <cell r="BM32">
            <v>0</v>
          </cell>
          <cell r="BN32">
            <v>4.5100800000000003</v>
          </cell>
          <cell r="BO32">
            <v>2.5369200000000003</v>
          </cell>
          <cell r="BP32">
            <v>2.5369200000000003</v>
          </cell>
          <cell r="BQ32">
            <v>1.3154400000000002</v>
          </cell>
          <cell r="BR32">
            <v>0</v>
          </cell>
          <cell r="BS32">
            <v>0</v>
          </cell>
          <cell r="BT32">
            <v>0</v>
          </cell>
          <cell r="BU32">
            <v>0</v>
          </cell>
          <cell r="BV32">
            <v>0</v>
          </cell>
          <cell r="BW32">
            <v>0</v>
          </cell>
          <cell r="BX32" t="str">
            <v>不可以</v>
          </cell>
          <cell r="BY32" t="str">
            <v>不可以</v>
          </cell>
          <cell r="BZ32" t="str">
            <v>不可以</v>
          </cell>
          <cell r="CA32" t="str">
            <v>不可以</v>
          </cell>
          <cell r="CC32" t="str">
            <v>(1) 智能爐頭備有煎炸(可調校160度、180度、200度)
(2) 270度自動熄火 
(3) 煮飯(飯煮自動熄火) 
(4) 煲水，水滾後自動收細火，並於5分鐘後自動熄火
(5) 更換電池提示燈 
(6) 3小時自動熄火裝置。</v>
          </cell>
          <cell r="CD32" t="str">
            <v>不適用</v>
          </cell>
          <cell r="CE32" t="str">
            <v>兩枚D型1.5V</v>
          </cell>
          <cell r="CF32" t="str">
            <v>資料不詳</v>
          </cell>
          <cell r="CG32" t="str">
            <v>白色搪瓷
灰色搪瓷
不銹鋼</v>
          </cell>
          <cell r="CH32" t="str">
            <v>旋鈕式</v>
          </cell>
          <cell r="CI32" t="str">
            <v>旋鈕式</v>
          </cell>
          <cell r="CJ32" t="str">
            <v>雙環</v>
          </cell>
          <cell r="CK32" t="str">
            <v>單環</v>
          </cell>
          <cell r="CL32" t="str">
            <v>單環</v>
          </cell>
          <cell r="CM32" t="str">
            <v>不適用</v>
          </cell>
          <cell r="CN32" t="str">
            <v>不適用</v>
          </cell>
          <cell r="CO32" t="str">
            <v>單環</v>
          </cell>
          <cell r="CP32" t="str">
            <v>不適用</v>
          </cell>
          <cell r="CQ32" t="str">
            <v>不適用</v>
          </cell>
          <cell r="CR32" t="str">
            <v>長形連架 x 2</v>
          </cell>
          <cell r="CS32" t="str">
            <v>請按此處</v>
          </cell>
          <cell r="CT32" t="str">
            <v>不適用</v>
          </cell>
          <cell r="CU32" t="str">
            <v>不適用</v>
          </cell>
          <cell r="CV32">
            <v>14</v>
          </cell>
          <cell r="CW32">
            <v>30.800000000000004</v>
          </cell>
          <cell r="CX32"/>
        </row>
        <row r="33">
          <cell r="A33" t="str">
            <v>CG60</v>
          </cell>
          <cell r="B33" t="str">
            <v>停售</v>
          </cell>
          <cell r="E33" t="str">
            <v>St. Gerogre</v>
          </cell>
          <cell r="F33" t="str">
            <v>CG60</v>
          </cell>
          <cell r="K33" t="str">
            <v>資料不詳</v>
          </cell>
          <cell r="L33" t="str">
            <v>資料不詳</v>
          </cell>
          <cell r="M33" t="str">
            <v>澳洲</v>
          </cell>
          <cell r="N33" t="str">
            <v>已停售</v>
          </cell>
          <cell r="O33" t="str">
            <v>安排估價</v>
          </cell>
          <cell r="P33">
            <v>61</v>
          </cell>
          <cell r="Q33">
            <v>2.4015748031496065</v>
          </cell>
          <cell r="R33">
            <v>65</v>
          </cell>
          <cell r="S33">
            <v>2.5590551181102366</v>
          </cell>
          <cell r="U33">
            <v>0</v>
          </cell>
          <cell r="V33">
            <v>597</v>
          </cell>
          <cell r="W33">
            <v>23.503937007874018</v>
          </cell>
          <cell r="X33">
            <v>515</v>
          </cell>
          <cell r="Y33">
            <v>20.275590551181104</v>
          </cell>
          <cell r="AA33">
            <v>0</v>
          </cell>
          <cell r="AC33" t="str">
            <v>565 x 485 (22.2" x 19.1")</v>
          </cell>
          <cell r="AD33">
            <v>4</v>
          </cell>
          <cell r="AE33" t="str">
            <v>左下 (炒鑊)</v>
          </cell>
          <cell r="AF33" t="str">
            <v>左上 (中爐)</v>
          </cell>
          <cell r="AG33" t="str">
            <v>右下 (細爐)</v>
          </cell>
          <cell r="AH33" t="str">
            <v>右上 (中爐)</v>
          </cell>
          <cell r="AJ33">
            <v>11.879999999999999</v>
          </cell>
          <cell r="AK33">
            <v>6.48</v>
          </cell>
          <cell r="AL33">
            <v>3.9600000000000004</v>
          </cell>
          <cell r="AM33">
            <v>6.48</v>
          </cell>
          <cell r="AN33">
            <v>0</v>
          </cell>
          <cell r="AO33">
            <v>0</v>
          </cell>
          <cell r="AP33">
            <v>0</v>
          </cell>
          <cell r="AQ33">
            <v>0</v>
          </cell>
          <cell r="AR33">
            <v>0</v>
          </cell>
          <cell r="AS33">
            <v>0</v>
          </cell>
          <cell r="AT33">
            <v>3.3</v>
          </cell>
          <cell r="AU33">
            <v>1.8</v>
          </cell>
          <cell r="AV33">
            <v>1.1000000000000001</v>
          </cell>
          <cell r="AW33">
            <v>1.8</v>
          </cell>
          <cell r="BD33">
            <v>11272.65957444</v>
          </cell>
          <cell r="BE33">
            <v>6148.7234042400005</v>
          </cell>
          <cell r="BF33">
            <v>3757.5531914800004</v>
          </cell>
          <cell r="BG33">
            <v>6148.7234042400005</v>
          </cell>
          <cell r="BH33">
            <v>0</v>
          </cell>
          <cell r="BI33">
            <v>0</v>
          </cell>
          <cell r="BJ33">
            <v>0</v>
          </cell>
          <cell r="BK33">
            <v>0</v>
          </cell>
          <cell r="BL33">
            <v>0</v>
          </cell>
          <cell r="BM33">
            <v>0</v>
          </cell>
          <cell r="BN33">
            <v>3.1006799999999997</v>
          </cell>
          <cell r="BO33">
            <v>1.6912800000000001</v>
          </cell>
          <cell r="BP33">
            <v>1.03356</v>
          </cell>
          <cell r="BQ33">
            <v>1.6912800000000001</v>
          </cell>
          <cell r="BR33">
            <v>0</v>
          </cell>
          <cell r="BS33">
            <v>0</v>
          </cell>
          <cell r="BT33">
            <v>0</v>
          </cell>
          <cell r="BU33">
            <v>0</v>
          </cell>
          <cell r="BV33">
            <v>0</v>
          </cell>
          <cell r="BW33">
            <v>0</v>
          </cell>
          <cell r="BX33" t="str">
            <v>不可以</v>
          </cell>
          <cell r="BY33" t="str">
            <v>不可以</v>
          </cell>
          <cell r="BZ33" t="str">
            <v>不可以</v>
          </cell>
          <cell r="CA33" t="str">
            <v>不可以</v>
          </cell>
          <cell r="CC33" t="str">
            <v>特大爐架，可配較大哭皿</v>
          </cell>
          <cell r="CD33" t="str">
            <v>220V,13A</v>
          </cell>
          <cell r="CE33" t="str">
            <v>不適用</v>
          </cell>
          <cell r="CF33" t="str">
            <v>不適用</v>
          </cell>
          <cell r="CG33" t="str">
            <v>白色搪瓷
不銹鋼</v>
          </cell>
          <cell r="CH33" t="str">
            <v>旋鈕式</v>
          </cell>
          <cell r="CI33" t="str">
            <v>旋鈕式</v>
          </cell>
          <cell r="CJ33" t="str">
            <v>雙環</v>
          </cell>
          <cell r="CK33" t="str">
            <v>雙環</v>
          </cell>
          <cell r="CL33" t="str">
            <v>雙環</v>
          </cell>
          <cell r="CM33" t="str">
            <v>單環</v>
          </cell>
          <cell r="CN33" t="str">
            <v>不適用</v>
          </cell>
          <cell r="CO33" t="str">
            <v>不適用</v>
          </cell>
          <cell r="CP33" t="str">
            <v>不適用</v>
          </cell>
          <cell r="CQ33" t="str">
            <v>不適用</v>
          </cell>
          <cell r="CR33" t="str">
            <v>長形連架 x 2</v>
          </cell>
          <cell r="CS33" t="str">
            <v>不適用</v>
          </cell>
          <cell r="CT33" t="str">
            <v>不適用</v>
          </cell>
          <cell r="CU33" t="str">
            <v>不適用</v>
          </cell>
          <cell r="CW33">
            <v>0</v>
          </cell>
          <cell r="CX33"/>
        </row>
        <row r="34">
          <cell r="A34" t="str">
            <v>TB4S-C-W/S</v>
          </cell>
          <cell r="B34" t="str">
            <v>停售</v>
          </cell>
          <cell r="E34" t="str">
            <v>Tecnogas</v>
          </cell>
          <cell r="F34" t="str">
            <v>TB4S-C-W/S</v>
          </cell>
          <cell r="K34" t="str">
            <v>資料不詳</v>
          </cell>
          <cell r="L34" t="str">
            <v>資料不詳</v>
          </cell>
          <cell r="M34" t="str">
            <v>意大利</v>
          </cell>
          <cell r="N34" t="str">
            <v>已停售</v>
          </cell>
          <cell r="O34" t="str">
            <v>請按此處</v>
          </cell>
          <cell r="Q34">
            <v>0</v>
          </cell>
          <cell r="S34">
            <v>0</v>
          </cell>
          <cell r="T34">
            <v>80</v>
          </cell>
          <cell r="U34">
            <v>3.1496062992125986</v>
          </cell>
          <cell r="V34">
            <v>580</v>
          </cell>
          <cell r="W34">
            <v>22.834645669291341</v>
          </cell>
          <cell r="X34">
            <v>500</v>
          </cell>
          <cell r="Y34">
            <v>19.685039370078741</v>
          </cell>
          <cell r="AA34">
            <v>0</v>
          </cell>
          <cell r="AC34" t="str">
            <v>555 x 475 (R116) (21.9" x 18.7")</v>
          </cell>
          <cell r="AD34">
            <v>4</v>
          </cell>
          <cell r="AE34" t="str">
            <v>左下 (炒鑊)</v>
          </cell>
          <cell r="AF34" t="str">
            <v>左上 (細爐)</v>
          </cell>
          <cell r="AG34" t="str">
            <v>右下 (細爐)</v>
          </cell>
          <cell r="AH34" t="str">
            <v>右上 (中爐)</v>
          </cell>
          <cell r="AJ34">
            <v>14.4</v>
          </cell>
          <cell r="AK34">
            <v>5.4</v>
          </cell>
          <cell r="AL34">
            <v>5.4</v>
          </cell>
          <cell r="AM34">
            <v>9</v>
          </cell>
          <cell r="AN34">
            <v>0</v>
          </cell>
          <cell r="AO34">
            <v>0</v>
          </cell>
          <cell r="AP34">
            <v>0</v>
          </cell>
          <cell r="AQ34">
            <v>0</v>
          </cell>
          <cell r="AR34">
            <v>0</v>
          </cell>
          <cell r="AS34">
            <v>0</v>
          </cell>
          <cell r="AT34">
            <v>4</v>
          </cell>
          <cell r="AU34">
            <v>1.5</v>
          </cell>
          <cell r="AV34">
            <v>1.5</v>
          </cell>
          <cell r="AW34">
            <v>2.5</v>
          </cell>
          <cell r="BD34">
            <v>13663.8297872</v>
          </cell>
          <cell r="BE34">
            <v>5123.9361702000006</v>
          </cell>
          <cell r="BF34">
            <v>5123.9361702000006</v>
          </cell>
          <cell r="BG34">
            <v>8539.8936169999997</v>
          </cell>
          <cell r="BH34">
            <v>0</v>
          </cell>
          <cell r="BI34">
            <v>0</v>
          </cell>
          <cell r="BJ34">
            <v>0</v>
          </cell>
          <cell r="BK34">
            <v>0</v>
          </cell>
          <cell r="BL34">
            <v>0</v>
          </cell>
          <cell r="BM34">
            <v>0</v>
          </cell>
          <cell r="BN34">
            <v>3.7584000000000004</v>
          </cell>
          <cell r="BO34">
            <v>1.4094000000000002</v>
          </cell>
          <cell r="BP34">
            <v>1.4094000000000002</v>
          </cell>
          <cell r="BQ34">
            <v>2.3490000000000002</v>
          </cell>
          <cell r="BR34">
            <v>0</v>
          </cell>
          <cell r="BS34">
            <v>0</v>
          </cell>
          <cell r="BT34">
            <v>0</v>
          </cell>
          <cell r="BU34">
            <v>0</v>
          </cell>
          <cell r="BV34">
            <v>0</v>
          </cell>
          <cell r="BW34">
            <v>0</v>
          </cell>
          <cell r="BX34" t="str">
            <v>不可以</v>
          </cell>
          <cell r="BY34" t="str">
            <v>不可以</v>
          </cell>
          <cell r="BZ34" t="str">
            <v>不可以</v>
          </cell>
          <cell r="CA34" t="str">
            <v>不可以</v>
          </cell>
          <cell r="CC34" t="str">
            <v xml:space="preserve">大圓邊流線型爐角
</v>
          </cell>
          <cell r="CD34" t="str">
            <v>220V,13A</v>
          </cell>
          <cell r="CE34" t="str">
            <v>不適用</v>
          </cell>
          <cell r="CF34" t="str">
            <v>不適用</v>
          </cell>
          <cell r="CG34" t="str">
            <v>白色搪瓷
不銹鋼</v>
          </cell>
          <cell r="CH34" t="str">
            <v>旋鈕式</v>
          </cell>
          <cell r="CI34" t="str">
            <v>旋鈕式</v>
          </cell>
          <cell r="CJ34" t="str">
            <v>三環</v>
          </cell>
          <cell r="CK34" t="str">
            <v>單環</v>
          </cell>
          <cell r="CL34" t="str">
            <v>不適用</v>
          </cell>
          <cell r="CM34" t="str">
            <v>雙環</v>
          </cell>
          <cell r="CN34" t="str">
            <v>雙環</v>
          </cell>
          <cell r="CO34" t="str">
            <v>不適用</v>
          </cell>
          <cell r="CP34" t="str">
            <v>不適用</v>
          </cell>
          <cell r="CQ34" t="str">
            <v>不適用</v>
          </cell>
          <cell r="CR34" t="str">
            <v>長形連架 x 2</v>
          </cell>
          <cell r="CS34" t="str">
            <v>不適用</v>
          </cell>
          <cell r="CT34" t="str">
            <v>不適用</v>
          </cell>
          <cell r="CU34" t="str">
            <v>請按此處</v>
          </cell>
          <cell r="CW34">
            <v>0</v>
          </cell>
          <cell r="CX34"/>
        </row>
        <row r="35">
          <cell r="A35" t="str">
            <v>TB604A</v>
          </cell>
          <cell r="B35" t="str">
            <v>停售</v>
          </cell>
          <cell r="E35" t="str">
            <v>Tecnogas</v>
          </cell>
          <cell r="F35" t="str">
            <v>TB604A</v>
          </cell>
          <cell r="K35" t="str">
            <v>2001年6月22日</v>
          </cell>
          <cell r="L35" t="str">
            <v>2006年11月7日</v>
          </cell>
          <cell r="M35" t="str">
            <v>意大利</v>
          </cell>
          <cell r="N35" t="str">
            <v>已停售</v>
          </cell>
          <cell r="O35" t="str">
            <v>請按此處</v>
          </cell>
          <cell r="P35">
            <v>47</v>
          </cell>
          <cell r="Q35">
            <v>1.8503937007874016</v>
          </cell>
          <cell r="R35">
            <v>52</v>
          </cell>
          <cell r="S35">
            <v>2.0472440944881889</v>
          </cell>
          <cell r="U35">
            <v>0</v>
          </cell>
          <cell r="V35">
            <v>580</v>
          </cell>
          <cell r="W35">
            <v>22.834645669291341</v>
          </cell>
          <cell r="X35">
            <v>500</v>
          </cell>
          <cell r="Y35">
            <v>19.685039370078741</v>
          </cell>
          <cell r="AA35">
            <v>0</v>
          </cell>
          <cell r="AC35" t="str">
            <v>555 x 475 (21.9" x 18.7")</v>
          </cell>
          <cell r="AD35">
            <v>4</v>
          </cell>
          <cell r="AE35" t="str">
            <v>左下 (炒鑊)</v>
          </cell>
          <cell r="AF35" t="str">
            <v>左上 (細爐)</v>
          </cell>
          <cell r="AG35" t="str">
            <v>右下 (細爐)</v>
          </cell>
          <cell r="AH35" t="str">
            <v>右上 (中爐)</v>
          </cell>
          <cell r="AJ35">
            <v>14.4</v>
          </cell>
          <cell r="AK35">
            <v>5.22</v>
          </cell>
          <cell r="AL35">
            <v>5.22</v>
          </cell>
          <cell r="AM35">
            <v>9</v>
          </cell>
          <cell r="AN35">
            <v>0</v>
          </cell>
          <cell r="AO35">
            <v>0</v>
          </cell>
          <cell r="AP35">
            <v>0</v>
          </cell>
          <cell r="AQ35">
            <v>0</v>
          </cell>
          <cell r="AR35">
            <v>0</v>
          </cell>
          <cell r="AS35">
            <v>0</v>
          </cell>
          <cell r="AT35">
            <v>4</v>
          </cell>
          <cell r="AU35">
            <v>1.45</v>
          </cell>
          <cell r="AV35">
            <v>1.45</v>
          </cell>
          <cell r="AW35">
            <v>2.5</v>
          </cell>
          <cell r="BD35">
            <v>13663.8297872</v>
          </cell>
          <cell r="BE35">
            <v>4953.1382978599995</v>
          </cell>
          <cell r="BF35">
            <v>4953.1382978599995</v>
          </cell>
          <cell r="BG35">
            <v>8539.8936169999997</v>
          </cell>
          <cell r="BH35">
            <v>0</v>
          </cell>
          <cell r="BI35">
            <v>0</v>
          </cell>
          <cell r="BJ35">
            <v>0</v>
          </cell>
          <cell r="BK35">
            <v>0</v>
          </cell>
          <cell r="BL35">
            <v>0</v>
          </cell>
          <cell r="BM35">
            <v>0</v>
          </cell>
          <cell r="BN35">
            <v>3.7584000000000004</v>
          </cell>
          <cell r="BO35">
            <v>1.36242</v>
          </cell>
          <cell r="BP35">
            <v>1.36242</v>
          </cell>
          <cell r="BQ35">
            <v>2.3490000000000002</v>
          </cell>
          <cell r="BR35">
            <v>0</v>
          </cell>
          <cell r="BS35">
            <v>0</v>
          </cell>
          <cell r="BT35">
            <v>0</v>
          </cell>
          <cell r="BU35">
            <v>0</v>
          </cell>
          <cell r="BV35">
            <v>0</v>
          </cell>
          <cell r="BW35">
            <v>0</v>
          </cell>
          <cell r="BX35" t="str">
            <v>不可以</v>
          </cell>
          <cell r="BY35" t="str">
            <v>不可以</v>
          </cell>
          <cell r="BZ35" t="str">
            <v>不可以</v>
          </cell>
          <cell r="CA35" t="str">
            <v>不可以</v>
          </cell>
          <cell r="CD35" t="str">
            <v>220V,13A</v>
          </cell>
          <cell r="CE35" t="str">
            <v>不適用</v>
          </cell>
          <cell r="CF35" t="str">
            <v>不適用</v>
          </cell>
          <cell r="CG35" t="str">
            <v>白色搪瓷
不銹鋼</v>
          </cell>
          <cell r="CH35" t="str">
            <v>旋鈕式</v>
          </cell>
          <cell r="CI35" t="str">
            <v>旋鈕式</v>
          </cell>
          <cell r="CJ35" t="str">
            <v>三環</v>
          </cell>
          <cell r="CK35" t="str">
            <v>單環</v>
          </cell>
          <cell r="CL35" t="str">
            <v>不適用</v>
          </cell>
          <cell r="CM35" t="str">
            <v>單環</v>
          </cell>
          <cell r="CN35" t="str">
            <v>單環</v>
          </cell>
          <cell r="CO35" t="str">
            <v>不適用</v>
          </cell>
          <cell r="CP35" t="str">
            <v>不適用</v>
          </cell>
          <cell r="CQ35" t="str">
            <v>不適用</v>
          </cell>
          <cell r="CR35" t="str">
            <v>長形連架 x 2</v>
          </cell>
          <cell r="CS35" t="str">
            <v>請按此處</v>
          </cell>
          <cell r="CT35" t="str">
            <v>不適用</v>
          </cell>
          <cell r="CU35" t="str">
            <v>請按此處</v>
          </cell>
          <cell r="CW35">
            <v>0</v>
          </cell>
          <cell r="CX35"/>
        </row>
        <row r="36">
          <cell r="A36" t="str">
            <v>TB604B</v>
          </cell>
          <cell r="B36" t="str">
            <v>停售</v>
          </cell>
          <cell r="E36" t="str">
            <v>Tecnogas</v>
          </cell>
          <cell r="F36" t="str">
            <v>TB604B</v>
          </cell>
          <cell r="K36" t="str">
            <v>2001年6月22日</v>
          </cell>
          <cell r="L36" t="str">
            <v>2006年11月7日</v>
          </cell>
          <cell r="M36" t="str">
            <v>意大利</v>
          </cell>
          <cell r="N36" t="str">
            <v>已停售</v>
          </cell>
          <cell r="O36" t="str">
            <v>請按此處</v>
          </cell>
          <cell r="P36">
            <v>47</v>
          </cell>
          <cell r="Q36">
            <v>1.8503937007874016</v>
          </cell>
          <cell r="R36">
            <v>52</v>
          </cell>
          <cell r="S36">
            <v>2.0472440944881889</v>
          </cell>
          <cell r="U36">
            <v>0</v>
          </cell>
          <cell r="V36">
            <v>580</v>
          </cell>
          <cell r="W36">
            <v>22.834645669291341</v>
          </cell>
          <cell r="X36">
            <v>500</v>
          </cell>
          <cell r="Y36">
            <v>19.685039370078741</v>
          </cell>
          <cell r="AA36">
            <v>0</v>
          </cell>
          <cell r="AC36" t="str">
            <v>555 x 475 (21.9" x 18.7")</v>
          </cell>
          <cell r="AD36">
            <v>4</v>
          </cell>
          <cell r="AE36" t="str">
            <v>左下 (炒鑊)</v>
          </cell>
          <cell r="AF36" t="str">
            <v>左上 (細爐)</v>
          </cell>
          <cell r="AG36" t="str">
            <v>右下 (細爐)</v>
          </cell>
          <cell r="AH36" t="str">
            <v>右上 (中爐)</v>
          </cell>
          <cell r="AJ36">
            <v>14.4</v>
          </cell>
          <cell r="AK36">
            <v>5.22</v>
          </cell>
          <cell r="AL36">
            <v>5.22</v>
          </cell>
          <cell r="AM36">
            <v>9</v>
          </cell>
          <cell r="AN36">
            <v>0</v>
          </cell>
          <cell r="AO36">
            <v>0</v>
          </cell>
          <cell r="AP36">
            <v>0</v>
          </cell>
          <cell r="AQ36">
            <v>0</v>
          </cell>
          <cell r="AR36">
            <v>0</v>
          </cell>
          <cell r="AS36">
            <v>0</v>
          </cell>
          <cell r="AT36">
            <v>4</v>
          </cell>
          <cell r="AU36">
            <v>1.45</v>
          </cell>
          <cell r="AV36">
            <v>1.45</v>
          </cell>
          <cell r="AW36">
            <v>2.5</v>
          </cell>
          <cell r="BD36">
            <v>13663.8297872</v>
          </cell>
          <cell r="BE36">
            <v>4953.1382978599995</v>
          </cell>
          <cell r="BF36">
            <v>4953.1382978599995</v>
          </cell>
          <cell r="BG36">
            <v>8539.8936169999997</v>
          </cell>
          <cell r="BH36">
            <v>0</v>
          </cell>
          <cell r="BI36">
            <v>0</v>
          </cell>
          <cell r="BJ36">
            <v>0</v>
          </cell>
          <cell r="BK36">
            <v>0</v>
          </cell>
          <cell r="BL36">
            <v>0</v>
          </cell>
          <cell r="BM36">
            <v>0</v>
          </cell>
          <cell r="BN36">
            <v>3.7584000000000004</v>
          </cell>
          <cell r="BO36">
            <v>1.36242</v>
          </cell>
          <cell r="BP36">
            <v>1.36242</v>
          </cell>
          <cell r="BQ36">
            <v>2.3490000000000002</v>
          </cell>
          <cell r="BR36">
            <v>0</v>
          </cell>
          <cell r="BS36">
            <v>0</v>
          </cell>
          <cell r="BT36">
            <v>0</v>
          </cell>
          <cell r="BU36">
            <v>0</v>
          </cell>
          <cell r="BV36">
            <v>0</v>
          </cell>
          <cell r="BW36">
            <v>0</v>
          </cell>
          <cell r="BX36" t="str">
            <v>不可以</v>
          </cell>
          <cell r="BY36" t="str">
            <v>不可以</v>
          </cell>
          <cell r="BZ36" t="str">
            <v>不可以</v>
          </cell>
          <cell r="CA36" t="str">
            <v>不可以</v>
          </cell>
          <cell r="CD36" t="str">
            <v>不適用</v>
          </cell>
          <cell r="CE36" t="str">
            <v>一枚AA型1.5V</v>
          </cell>
          <cell r="CF36" t="str">
            <v>資料不詳</v>
          </cell>
          <cell r="CG36" t="str">
            <v>白色搪瓷
不銹鋼</v>
          </cell>
          <cell r="CH36" t="str">
            <v>旋鈕式</v>
          </cell>
          <cell r="CI36" t="str">
            <v>旋鈕式</v>
          </cell>
          <cell r="CJ36" t="str">
            <v>三環</v>
          </cell>
          <cell r="CK36" t="str">
            <v>單環</v>
          </cell>
          <cell r="CL36" t="str">
            <v>不適用</v>
          </cell>
          <cell r="CM36" t="str">
            <v>單環</v>
          </cell>
          <cell r="CN36" t="str">
            <v>單環</v>
          </cell>
          <cell r="CO36" t="str">
            <v>不適用</v>
          </cell>
          <cell r="CP36" t="str">
            <v>不適用</v>
          </cell>
          <cell r="CQ36" t="str">
            <v>不適用</v>
          </cell>
          <cell r="CR36" t="str">
            <v>長形連架 x 2</v>
          </cell>
          <cell r="CS36" t="str">
            <v>請按此處</v>
          </cell>
          <cell r="CT36" t="str">
            <v>不適用</v>
          </cell>
          <cell r="CU36" t="str">
            <v>請按此處</v>
          </cell>
          <cell r="CW36">
            <v>0</v>
          </cell>
          <cell r="CX36"/>
        </row>
        <row r="37">
          <cell r="A37" t="str">
            <v>TB4L-C-W/S</v>
          </cell>
          <cell r="B37" t="str">
            <v>停售</v>
          </cell>
          <cell r="E37" t="str">
            <v>Tecnogas</v>
          </cell>
          <cell r="F37" t="str">
            <v>TB4L-C-W/S</v>
          </cell>
          <cell r="K37" t="str">
            <v>資料不詳</v>
          </cell>
          <cell r="L37" t="str">
            <v>2007年9月1日</v>
          </cell>
          <cell r="M37" t="str">
            <v>意大利</v>
          </cell>
          <cell r="N37" t="str">
            <v>已停售</v>
          </cell>
          <cell r="O37" t="str">
            <v>請按此處</v>
          </cell>
          <cell r="Q37">
            <v>0</v>
          </cell>
          <cell r="R37">
            <v>52</v>
          </cell>
          <cell r="S37">
            <v>2.0472440944881889</v>
          </cell>
          <cell r="U37">
            <v>0</v>
          </cell>
          <cell r="V37">
            <v>860</v>
          </cell>
          <cell r="W37">
            <v>33.858267716535437</v>
          </cell>
          <cell r="X37">
            <v>500</v>
          </cell>
          <cell r="Y37">
            <v>19.685039370078741</v>
          </cell>
          <cell r="AA37">
            <v>0</v>
          </cell>
          <cell r="AC37" t="str">
            <v>835 x 475 (R116) (32.9" x 18.7")</v>
          </cell>
          <cell r="AD37">
            <v>4</v>
          </cell>
          <cell r="AE37" t="str">
            <v>左下 (炒鑊)</v>
          </cell>
          <cell r="AF37" t="str">
            <v>左上 (細爐)</v>
          </cell>
          <cell r="AG37" t="str">
            <v>右下 (細爐)</v>
          </cell>
          <cell r="AH37" t="str">
            <v>右上 (中爐)</v>
          </cell>
          <cell r="AJ37">
            <v>14.4</v>
          </cell>
          <cell r="AK37">
            <v>5.4</v>
          </cell>
          <cell r="AL37">
            <v>5.4</v>
          </cell>
          <cell r="AM37">
            <v>9</v>
          </cell>
          <cell r="AN37">
            <v>0</v>
          </cell>
          <cell r="AO37">
            <v>0</v>
          </cell>
          <cell r="AP37">
            <v>0</v>
          </cell>
          <cell r="AQ37">
            <v>0</v>
          </cell>
          <cell r="AR37">
            <v>0</v>
          </cell>
          <cell r="AS37">
            <v>0</v>
          </cell>
          <cell r="AT37">
            <v>4</v>
          </cell>
          <cell r="AU37">
            <v>1.5</v>
          </cell>
          <cell r="AV37">
            <v>1.5</v>
          </cell>
          <cell r="AW37">
            <v>2.5</v>
          </cell>
          <cell r="BD37">
            <v>13663.8297872</v>
          </cell>
          <cell r="BE37">
            <v>5123.9361702000006</v>
          </cell>
          <cell r="BF37">
            <v>5123.9361702000006</v>
          </cell>
          <cell r="BG37">
            <v>8539.8936169999997</v>
          </cell>
          <cell r="BH37">
            <v>0</v>
          </cell>
          <cell r="BI37">
            <v>0</v>
          </cell>
          <cell r="BJ37">
            <v>0</v>
          </cell>
          <cell r="BK37">
            <v>0</v>
          </cell>
          <cell r="BL37">
            <v>0</v>
          </cell>
          <cell r="BM37">
            <v>0</v>
          </cell>
          <cell r="BN37">
            <v>3.7584000000000004</v>
          </cell>
          <cell r="BO37">
            <v>1.4094000000000002</v>
          </cell>
          <cell r="BP37">
            <v>1.4094000000000002</v>
          </cell>
          <cell r="BQ37">
            <v>2.3490000000000002</v>
          </cell>
          <cell r="BR37">
            <v>0</v>
          </cell>
          <cell r="BS37">
            <v>0</v>
          </cell>
          <cell r="BT37">
            <v>0</v>
          </cell>
          <cell r="BU37">
            <v>0</v>
          </cell>
          <cell r="BV37">
            <v>0</v>
          </cell>
          <cell r="BW37">
            <v>0</v>
          </cell>
          <cell r="BX37" t="str">
            <v>不可以</v>
          </cell>
          <cell r="BY37" t="str">
            <v>不可以</v>
          </cell>
          <cell r="BZ37" t="str">
            <v>不可以</v>
          </cell>
          <cell r="CA37" t="str">
            <v>不可以</v>
          </cell>
          <cell r="CD37" t="str">
            <v>220V,13A</v>
          </cell>
          <cell r="CE37" t="str">
            <v>不適用</v>
          </cell>
          <cell r="CF37" t="str">
            <v>不適用</v>
          </cell>
          <cell r="CG37" t="str">
            <v>白色搪瓷
不銹鋼</v>
          </cell>
          <cell r="CH37" t="str">
            <v>旋鈕式</v>
          </cell>
          <cell r="CI37" t="str">
            <v>旋鈕式</v>
          </cell>
          <cell r="CJ37" t="str">
            <v>三環</v>
          </cell>
          <cell r="CK37" t="str">
            <v>單環</v>
          </cell>
          <cell r="CL37" t="str">
            <v>不適用</v>
          </cell>
          <cell r="CM37" t="str">
            <v>單環</v>
          </cell>
          <cell r="CN37" t="str">
            <v>單環</v>
          </cell>
          <cell r="CO37" t="str">
            <v>不適用</v>
          </cell>
          <cell r="CP37" t="str">
            <v>不適用</v>
          </cell>
          <cell r="CQ37" t="str">
            <v>不適用</v>
          </cell>
          <cell r="CR37" t="str">
            <v>長形連架 x 2，輔助承托架 x 1</v>
          </cell>
          <cell r="CS37" t="str">
            <v>不適用</v>
          </cell>
          <cell r="CT37" t="str">
            <v>不適用</v>
          </cell>
          <cell r="CU37" t="str">
            <v>請按此處</v>
          </cell>
          <cell r="CW37">
            <v>0</v>
          </cell>
          <cell r="CX37"/>
        </row>
        <row r="38">
          <cell r="A38" t="str">
            <v>RB904CMB</v>
          </cell>
          <cell r="B38" t="str">
            <v>停售</v>
          </cell>
          <cell r="E38" t="str">
            <v>TGC</v>
          </cell>
          <cell r="F38" t="str">
            <v>RB904CMB</v>
          </cell>
          <cell r="I38" t="str">
            <v>操作資料</v>
          </cell>
          <cell r="K38" t="str">
            <v>2003年6月3日</v>
          </cell>
          <cell r="L38" t="str">
            <v>2007年1月23日</v>
          </cell>
          <cell r="M38" t="str">
            <v>印尼</v>
          </cell>
          <cell r="N38" t="str">
            <v>已停售</v>
          </cell>
          <cell r="O38" t="str">
            <v>請按此處</v>
          </cell>
          <cell r="P38">
            <v>65</v>
          </cell>
          <cell r="Q38">
            <v>2.5590551181102366</v>
          </cell>
          <cell r="R38">
            <v>77</v>
          </cell>
          <cell r="S38">
            <v>3.0314960629921264</v>
          </cell>
          <cell r="T38">
            <v>115</v>
          </cell>
          <cell r="U38">
            <v>4.5275590551181102</v>
          </cell>
          <cell r="V38">
            <v>867</v>
          </cell>
          <cell r="W38">
            <v>34.133858267716541</v>
          </cell>
          <cell r="X38">
            <v>507</v>
          </cell>
          <cell r="Y38">
            <v>19.960629921259844</v>
          </cell>
          <cell r="Z38">
            <v>400</v>
          </cell>
          <cell r="AA38">
            <v>15.748031496062993</v>
          </cell>
          <cell r="AC38" t="str">
            <v>835 x 475 (32.9" x 18.7")</v>
          </cell>
          <cell r="AD38">
            <v>4</v>
          </cell>
          <cell r="AE38" t="str">
            <v>左下 (炒鑊)</v>
          </cell>
          <cell r="AF38" t="str">
            <v>左上 (細爐)</v>
          </cell>
          <cell r="AG38" t="str">
            <v>右下 (中爐)</v>
          </cell>
          <cell r="AH38" t="str">
            <v>右上 (智能)</v>
          </cell>
          <cell r="AJ38">
            <v>18</v>
          </cell>
          <cell r="AK38">
            <v>5.04</v>
          </cell>
          <cell r="AL38">
            <v>9.7200000000000006</v>
          </cell>
          <cell r="AM38">
            <v>9.7200000000000006</v>
          </cell>
          <cell r="AN38">
            <v>0</v>
          </cell>
          <cell r="AO38">
            <v>1.08</v>
          </cell>
          <cell r="AP38">
            <v>0</v>
          </cell>
          <cell r="AQ38">
            <v>0</v>
          </cell>
          <cell r="AR38">
            <v>0</v>
          </cell>
          <cell r="AS38">
            <v>0</v>
          </cell>
          <cell r="AT38">
            <v>5</v>
          </cell>
          <cell r="AU38">
            <v>1.4</v>
          </cell>
          <cell r="AV38">
            <v>2.7</v>
          </cell>
          <cell r="AW38">
            <v>2.7</v>
          </cell>
          <cell r="AY38">
            <v>0.3</v>
          </cell>
          <cell r="BD38">
            <v>17079.787233999999</v>
          </cell>
          <cell r="BE38">
            <v>4782.3404255199994</v>
          </cell>
          <cell r="BF38">
            <v>9223.0851063600003</v>
          </cell>
          <cell r="BG38">
            <v>9223.0851063600003</v>
          </cell>
          <cell r="BH38">
            <v>0</v>
          </cell>
          <cell r="BI38">
            <v>1024.7872340399999</v>
          </cell>
          <cell r="BJ38">
            <v>0</v>
          </cell>
          <cell r="BK38">
            <v>0</v>
          </cell>
          <cell r="BL38">
            <v>0</v>
          </cell>
          <cell r="BM38">
            <v>0</v>
          </cell>
          <cell r="BN38">
            <v>4.6980000000000004</v>
          </cell>
          <cell r="BO38">
            <v>1.3154400000000002</v>
          </cell>
          <cell r="BP38">
            <v>2.5369200000000003</v>
          </cell>
          <cell r="BQ38">
            <v>2.5369200000000003</v>
          </cell>
          <cell r="BR38">
            <v>0</v>
          </cell>
          <cell r="BS38">
            <v>0.28188000000000002</v>
          </cell>
          <cell r="BT38">
            <v>0</v>
          </cell>
          <cell r="BU38">
            <v>0</v>
          </cell>
          <cell r="BV38">
            <v>0</v>
          </cell>
          <cell r="BW38">
            <v>0</v>
          </cell>
          <cell r="BX38" t="str">
            <v>可以</v>
          </cell>
          <cell r="BY38" t="str">
            <v>不可以</v>
          </cell>
          <cell r="BZ38" t="str">
            <v>不可以</v>
          </cell>
          <cell r="CA38" t="str">
            <v>不可以</v>
          </cell>
          <cell r="CC38" t="str">
            <v>(1) 智能爐頭備有煎炸(可調校160度、180度、200度)
(2) 270度自動熄火 
(3) 煮飯(飯煮自動熄火) 
(4) 煲水，水滾後自動收細火，並於5分鐘後自動熄火
(5) 更換電池提示燈 
(6) 3小時自動熄火裝置</v>
          </cell>
          <cell r="CD38" t="str">
            <v>不適用</v>
          </cell>
          <cell r="CE38" t="str">
            <v>兩枚D型1.5V</v>
          </cell>
          <cell r="CF38" t="str">
            <v>爐底左前方</v>
          </cell>
          <cell r="CG38" t="str">
            <v>白色搪瓷
灰色搪瓷
不銹鋼</v>
          </cell>
          <cell r="CH38" t="str">
            <v>旋鈕式</v>
          </cell>
          <cell r="CI38" t="str">
            <v>旋鈕式</v>
          </cell>
          <cell r="CJ38" t="str">
            <v>雙環</v>
          </cell>
          <cell r="CK38" t="str">
            <v>單環</v>
          </cell>
          <cell r="CL38" t="str">
            <v>不適用</v>
          </cell>
          <cell r="CM38" t="str">
            <v>單環</v>
          </cell>
          <cell r="CN38" t="str">
            <v>不適用</v>
          </cell>
          <cell r="CO38" t="str">
            <v>單環</v>
          </cell>
          <cell r="CP38" t="str">
            <v>不適用</v>
          </cell>
          <cell r="CQ38" t="str">
            <v>不適用</v>
          </cell>
          <cell r="CR38" t="str">
            <v>長形連架 x 2</v>
          </cell>
          <cell r="CS38" t="str">
            <v>請按此處</v>
          </cell>
          <cell r="CT38" t="str">
            <v>不適用</v>
          </cell>
          <cell r="CU38" t="str">
            <v>請按此處</v>
          </cell>
          <cell r="CV38">
            <v>14</v>
          </cell>
          <cell r="CW38">
            <v>30.800000000000004</v>
          </cell>
          <cell r="CX38"/>
        </row>
        <row r="39">
          <cell r="A39" t="str">
            <v>CG90</v>
          </cell>
          <cell r="B39" t="str">
            <v>停售</v>
          </cell>
          <cell r="E39" t="str">
            <v>St. Gerogre</v>
          </cell>
          <cell r="F39" t="str">
            <v>CG90</v>
          </cell>
          <cell r="K39" t="str">
            <v>資料不詳</v>
          </cell>
          <cell r="L39" t="str">
            <v>資料不詳</v>
          </cell>
          <cell r="M39" t="str">
            <v>澳洲</v>
          </cell>
          <cell r="N39" t="str">
            <v>已停售</v>
          </cell>
          <cell r="O39" t="str">
            <v>安排估價</v>
          </cell>
          <cell r="P39">
            <v>61</v>
          </cell>
          <cell r="Q39">
            <v>2.4015748031496065</v>
          </cell>
          <cell r="R39">
            <v>65</v>
          </cell>
          <cell r="S39">
            <v>2.5590551181102366</v>
          </cell>
          <cell r="U39">
            <v>0</v>
          </cell>
          <cell r="V39">
            <v>897</v>
          </cell>
          <cell r="W39">
            <v>35.314960629921259</v>
          </cell>
          <cell r="X39">
            <v>515</v>
          </cell>
          <cell r="Y39">
            <v>20.275590551181104</v>
          </cell>
          <cell r="AA39">
            <v>0</v>
          </cell>
          <cell r="AC39" t="str">
            <v>860 x 485 (33.9" x 19.1")</v>
          </cell>
          <cell r="AD39">
            <v>5</v>
          </cell>
          <cell r="AE39" t="str">
            <v>左下 (炒鑊)</v>
          </cell>
          <cell r="AF39" t="str">
            <v>左上 (中爐)</v>
          </cell>
          <cell r="AG39" t="str">
            <v>中 (大爐)</v>
          </cell>
          <cell r="AH39" t="str">
            <v>右下 (細爐)</v>
          </cell>
          <cell r="AI39" t="str">
            <v>右上 (中爐)</v>
          </cell>
          <cell r="AJ39">
            <v>11.879999999999999</v>
          </cell>
          <cell r="AK39">
            <v>6.48</v>
          </cell>
          <cell r="AL39">
            <v>11.16</v>
          </cell>
          <cell r="AM39">
            <v>3.9600000000000004</v>
          </cell>
          <cell r="AN39">
            <v>6.48</v>
          </cell>
          <cell r="AO39">
            <v>0</v>
          </cell>
          <cell r="AP39">
            <v>0</v>
          </cell>
          <cell r="AQ39">
            <v>0</v>
          </cell>
          <cell r="AR39">
            <v>0</v>
          </cell>
          <cell r="AS39">
            <v>0</v>
          </cell>
          <cell r="AT39">
            <v>3.3</v>
          </cell>
          <cell r="AU39">
            <v>1.8</v>
          </cell>
          <cell r="AV39">
            <v>3.1</v>
          </cell>
          <cell r="AW39">
            <v>1.1000000000000001</v>
          </cell>
          <cell r="AX39">
            <v>1.8</v>
          </cell>
          <cell r="BD39">
            <v>11272.65957444</v>
          </cell>
          <cell r="BE39">
            <v>6148.7234042400005</v>
          </cell>
          <cell r="BF39">
            <v>10589.468085080001</v>
          </cell>
          <cell r="BG39">
            <v>3757.5531914800004</v>
          </cell>
          <cell r="BH39">
            <v>6148.7234042400005</v>
          </cell>
          <cell r="BI39">
            <v>0</v>
          </cell>
          <cell r="BJ39">
            <v>0</v>
          </cell>
          <cell r="BK39">
            <v>0</v>
          </cell>
          <cell r="BL39">
            <v>0</v>
          </cell>
          <cell r="BM39">
            <v>0</v>
          </cell>
          <cell r="BN39">
            <v>3.1006799999999997</v>
          </cell>
          <cell r="BO39">
            <v>1.6912800000000001</v>
          </cell>
          <cell r="BP39">
            <v>2.91276</v>
          </cell>
          <cell r="BQ39">
            <v>1.03356</v>
          </cell>
          <cell r="BR39">
            <v>1.6912800000000001</v>
          </cell>
          <cell r="BS39">
            <v>0</v>
          </cell>
          <cell r="BT39">
            <v>0</v>
          </cell>
          <cell r="BU39">
            <v>0</v>
          </cell>
          <cell r="BV39">
            <v>0</v>
          </cell>
          <cell r="BW39">
            <v>0</v>
          </cell>
          <cell r="BX39" t="str">
            <v>不可以</v>
          </cell>
          <cell r="BY39" t="str">
            <v>不可以</v>
          </cell>
          <cell r="BZ39" t="str">
            <v>不可以</v>
          </cell>
          <cell r="CA39" t="str">
            <v>不可以</v>
          </cell>
          <cell r="CB39" t="str">
            <v>不可以</v>
          </cell>
          <cell r="CD39" t="str">
            <v>220V,13A</v>
          </cell>
          <cell r="CE39" t="str">
            <v>不適用</v>
          </cell>
          <cell r="CF39" t="str">
            <v>不適用</v>
          </cell>
          <cell r="CG39" t="str">
            <v>白色搪瓷
不銹鋼</v>
          </cell>
          <cell r="CH39" t="str">
            <v>旋鈕式</v>
          </cell>
          <cell r="CI39" t="str">
            <v>旋鈕式</v>
          </cell>
          <cell r="CJ39" t="str">
            <v>雙環</v>
          </cell>
          <cell r="CK39" t="str">
            <v>雙環 (大爐)</v>
          </cell>
          <cell r="CL39" t="str">
            <v>雙環</v>
          </cell>
          <cell r="CM39" t="str">
            <v>雙環 (中爐)</v>
          </cell>
          <cell r="CN39" t="str">
            <v>單環</v>
          </cell>
          <cell r="CO39" t="str">
            <v>不適用</v>
          </cell>
          <cell r="CP39" t="str">
            <v>不適用</v>
          </cell>
          <cell r="CQ39" t="str">
            <v>不適用</v>
          </cell>
          <cell r="CR39" t="str">
            <v>長形連架 x 2，長形特大架 x 1</v>
          </cell>
          <cell r="CS39" t="str">
            <v>不適用</v>
          </cell>
          <cell r="CT39" t="str">
            <v>不適用</v>
          </cell>
          <cell r="CU39" t="str">
            <v>不適用</v>
          </cell>
          <cell r="CW39">
            <v>0</v>
          </cell>
          <cell r="CX39"/>
        </row>
        <row r="40">
          <cell r="A40" t="str">
            <v>TB905</v>
          </cell>
          <cell r="B40" t="str">
            <v>停售</v>
          </cell>
          <cell r="E40" t="str">
            <v>Tecnogas</v>
          </cell>
          <cell r="F40" t="str">
            <v>TB905</v>
          </cell>
          <cell r="I40" t="str">
            <v xml:space="preserve"> </v>
          </cell>
          <cell r="K40" t="str">
            <v>1998年9月18日</v>
          </cell>
          <cell r="L40" t="str">
            <v>資料不詳</v>
          </cell>
          <cell r="M40" t="str">
            <v>意大利</v>
          </cell>
          <cell r="N40" t="str">
            <v>已停售</v>
          </cell>
          <cell r="O40" t="str">
            <v>請按此處</v>
          </cell>
          <cell r="Q40">
            <v>0</v>
          </cell>
          <cell r="R40">
            <v>52</v>
          </cell>
          <cell r="S40">
            <v>2.0472440944881889</v>
          </cell>
          <cell r="T40">
            <v>80</v>
          </cell>
          <cell r="U40">
            <v>3.1496062992125986</v>
          </cell>
          <cell r="V40">
            <v>860</v>
          </cell>
          <cell r="W40">
            <v>33.858267716535437</v>
          </cell>
          <cell r="X40">
            <v>500</v>
          </cell>
          <cell r="Y40">
            <v>19.685039370078741</v>
          </cell>
          <cell r="AA40">
            <v>0</v>
          </cell>
          <cell r="AC40" t="str">
            <v>835 x 475 (R116) (32.9" x 18.7")</v>
          </cell>
          <cell r="AD40">
            <v>5</v>
          </cell>
          <cell r="AE40" t="str">
            <v>左下 (炒鑊)</v>
          </cell>
          <cell r="AF40" t="str">
            <v>左上 (細爐)</v>
          </cell>
          <cell r="AG40" t="str">
            <v>中 (鐵板爐)</v>
          </cell>
          <cell r="AH40" t="str">
            <v>右下 (細爐)</v>
          </cell>
          <cell r="AI40" t="str">
            <v>右上 (中爐)</v>
          </cell>
          <cell r="AJ40">
            <v>14.4</v>
          </cell>
          <cell r="AK40">
            <v>5.4</v>
          </cell>
          <cell r="AL40">
            <v>12.6</v>
          </cell>
          <cell r="AM40">
            <v>5.4</v>
          </cell>
          <cell r="AN40">
            <v>9</v>
          </cell>
          <cell r="AO40">
            <v>0</v>
          </cell>
          <cell r="AP40">
            <v>0</v>
          </cell>
          <cell r="AQ40">
            <v>0</v>
          </cell>
          <cell r="AR40">
            <v>0</v>
          </cell>
          <cell r="AS40">
            <v>0</v>
          </cell>
          <cell r="AT40">
            <v>4</v>
          </cell>
          <cell r="AU40">
            <v>1.5</v>
          </cell>
          <cell r="AV40">
            <v>3.5</v>
          </cell>
          <cell r="AW40">
            <v>1.5</v>
          </cell>
          <cell r="AX40">
            <v>2.5</v>
          </cell>
          <cell r="BD40">
            <v>13663.8297872</v>
          </cell>
          <cell r="BE40">
            <v>5123.9361702000006</v>
          </cell>
          <cell r="BF40">
            <v>11955.851063800001</v>
          </cell>
          <cell r="BG40">
            <v>5123.9361702000006</v>
          </cell>
          <cell r="BH40">
            <v>8539.8936169999997</v>
          </cell>
          <cell r="BI40">
            <v>0</v>
          </cell>
          <cell r="BJ40">
            <v>0</v>
          </cell>
          <cell r="BK40">
            <v>0</v>
          </cell>
          <cell r="BL40">
            <v>0</v>
          </cell>
          <cell r="BM40">
            <v>0</v>
          </cell>
          <cell r="BN40">
            <v>3.7584000000000004</v>
          </cell>
          <cell r="BO40">
            <v>1.4094000000000002</v>
          </cell>
          <cell r="BP40">
            <v>3.2886000000000002</v>
          </cell>
          <cell r="BQ40">
            <v>1.4094000000000002</v>
          </cell>
          <cell r="BR40">
            <v>2.3490000000000002</v>
          </cell>
          <cell r="BS40">
            <v>0</v>
          </cell>
          <cell r="BT40">
            <v>0</v>
          </cell>
          <cell r="BU40">
            <v>0</v>
          </cell>
          <cell r="BV40">
            <v>0</v>
          </cell>
          <cell r="BW40">
            <v>0</v>
          </cell>
          <cell r="BX40" t="str">
            <v>不可以</v>
          </cell>
          <cell r="BY40" t="str">
            <v>不可以</v>
          </cell>
          <cell r="BZ40" t="str">
            <v>不可以</v>
          </cell>
          <cell r="CA40" t="str">
            <v>不可以</v>
          </cell>
          <cell r="CB40" t="str">
            <v>不可以</v>
          </cell>
          <cell r="CC40" t="str">
            <v>(1) 大圓邊流線型爐角
(2) 三環爐頭，火力更佳</v>
          </cell>
          <cell r="CD40" t="str">
            <v>220V,13A</v>
          </cell>
          <cell r="CE40" t="str">
            <v>不適用</v>
          </cell>
          <cell r="CF40" t="str">
            <v>不適用</v>
          </cell>
          <cell r="CG40" t="str">
            <v>白色搪瓷
不銹鋼</v>
          </cell>
          <cell r="CH40" t="str">
            <v>旋鈕式</v>
          </cell>
          <cell r="CI40" t="str">
            <v>旋鈕式</v>
          </cell>
          <cell r="CJ40" t="str">
            <v>三環</v>
          </cell>
          <cell r="CK40" t="str">
            <v>單環</v>
          </cell>
          <cell r="CL40" t="str">
            <v>不適用</v>
          </cell>
          <cell r="CM40" t="str">
            <v>雙環</v>
          </cell>
          <cell r="CN40" t="str">
            <v>雙環</v>
          </cell>
          <cell r="CO40" t="str">
            <v>不適用</v>
          </cell>
          <cell r="CP40" t="str">
            <v>不適用</v>
          </cell>
          <cell r="CQ40" t="str">
            <v>雙環</v>
          </cell>
          <cell r="CR40" t="str">
            <v>長形連架 x 3</v>
          </cell>
          <cell r="CS40" t="str">
            <v>請按此處</v>
          </cell>
          <cell r="CT40" t="str">
            <v>不適用</v>
          </cell>
          <cell r="CU40" t="str">
            <v>請按此處</v>
          </cell>
          <cell r="CW40">
            <v>0</v>
          </cell>
          <cell r="CX40"/>
        </row>
        <row r="41">
          <cell r="A41" t="str">
            <v>TRJB11G</v>
          </cell>
          <cell r="B41" t="str">
            <v>停售</v>
          </cell>
          <cell r="E41" t="str">
            <v>TGC</v>
          </cell>
          <cell r="H41" t="str">
            <v>TRJB11G-C</v>
          </cell>
          <cell r="I41" t="str">
            <v>操作資料</v>
          </cell>
          <cell r="J41" t="str">
            <v>說明書</v>
          </cell>
          <cell r="K41" t="str">
            <v>2008年12月31日</v>
          </cell>
          <cell r="L41" t="str">
            <v>2020年3月9日</v>
          </cell>
          <cell r="M41" t="str">
            <v>日本</v>
          </cell>
          <cell r="N41" t="str">
            <v>已停售</v>
          </cell>
          <cell r="O41" t="str">
            <v>請按此處</v>
          </cell>
          <cell r="P41">
            <v>55</v>
          </cell>
          <cell r="Q41">
            <v>2.1653543307086616</v>
          </cell>
          <cell r="R41">
            <v>69</v>
          </cell>
          <cell r="S41">
            <v>2.7165354330708662</v>
          </cell>
          <cell r="T41">
            <v>104</v>
          </cell>
          <cell r="U41">
            <v>4.0944881889763778</v>
          </cell>
          <cell r="V41">
            <v>310</v>
          </cell>
          <cell r="W41">
            <v>12.20472440944882</v>
          </cell>
          <cell r="X41">
            <v>522</v>
          </cell>
          <cell r="Y41">
            <v>20.551181102362207</v>
          </cell>
          <cell r="AA41">
            <v>0</v>
          </cell>
          <cell r="AC41" t="str">
            <v>268 x 490 (10.6" x 19.3")</v>
          </cell>
          <cell r="AD41">
            <v>1</v>
          </cell>
          <cell r="AE41" t="str">
            <v>燒烤</v>
          </cell>
          <cell r="AJ41">
            <v>7.9200000000000008</v>
          </cell>
          <cell r="AK41">
            <v>0</v>
          </cell>
          <cell r="AL41">
            <v>0</v>
          </cell>
          <cell r="AM41">
            <v>0</v>
          </cell>
          <cell r="AN41">
            <v>0</v>
          </cell>
          <cell r="AO41">
            <v>5.7600000000000007</v>
          </cell>
          <cell r="AP41">
            <v>0</v>
          </cell>
          <cell r="AQ41">
            <v>0</v>
          </cell>
          <cell r="AR41">
            <v>0</v>
          </cell>
          <cell r="AS41">
            <v>0</v>
          </cell>
          <cell r="AT41">
            <v>2.2000000000000002</v>
          </cell>
          <cell r="AY41">
            <v>1.6</v>
          </cell>
          <cell r="BD41">
            <v>7515.1063829600007</v>
          </cell>
          <cell r="BE41">
            <v>0</v>
          </cell>
          <cell r="BF41">
            <v>0</v>
          </cell>
          <cell r="BG41">
            <v>0</v>
          </cell>
          <cell r="BH41">
            <v>0</v>
          </cell>
          <cell r="BI41">
            <v>5465.5319148800008</v>
          </cell>
          <cell r="BJ41">
            <v>0</v>
          </cell>
          <cell r="BK41">
            <v>0</v>
          </cell>
          <cell r="BL41">
            <v>0</v>
          </cell>
          <cell r="BM41">
            <v>0</v>
          </cell>
          <cell r="BN41">
            <v>2.0671200000000001</v>
          </cell>
          <cell r="BO41">
            <v>0</v>
          </cell>
          <cell r="BP41">
            <v>0</v>
          </cell>
          <cell r="BQ41">
            <v>0</v>
          </cell>
          <cell r="BR41">
            <v>0</v>
          </cell>
          <cell r="BS41">
            <v>1.5033600000000003</v>
          </cell>
          <cell r="BT41">
            <v>0</v>
          </cell>
          <cell r="BU41">
            <v>0</v>
          </cell>
          <cell r="BV41">
            <v>0</v>
          </cell>
          <cell r="BW41">
            <v>0</v>
          </cell>
          <cell r="BX41" t="str">
            <v>不可以</v>
          </cell>
          <cell r="CC41" t="str">
            <v>(1) 配合特製燒烤板導走多餘油份。
(2) 採用Schott德國製造陶瓷玻璃。
(3) 每個爐頭承重量大約10KG (即22磅)</v>
          </cell>
          <cell r="CD41" t="str">
            <v>不適用</v>
          </cell>
          <cell r="CE41" t="str">
            <v>一枚C型1.5V</v>
          </cell>
          <cell r="CF41" t="str">
            <v>爐底中央前方</v>
          </cell>
          <cell r="CG41" t="str">
            <v>黑色陶瓷玻璃配銀色鋁合金框架</v>
          </cell>
          <cell r="CH41" t="str">
            <v>旋鈕式</v>
          </cell>
          <cell r="CI41" t="str">
            <v>旋鈕式</v>
          </cell>
          <cell r="CJ41" t="str">
            <v>不適用</v>
          </cell>
          <cell r="CK41" t="str">
            <v>不適用</v>
          </cell>
          <cell r="CL41" t="str">
            <v>不適用</v>
          </cell>
          <cell r="CM41" t="str">
            <v>不適用</v>
          </cell>
          <cell r="CN41" t="str">
            <v>不適用</v>
          </cell>
          <cell r="CO41" t="str">
            <v>不適用</v>
          </cell>
          <cell r="CP41" t="str">
            <v>不適用</v>
          </cell>
          <cell r="CQ41" t="str">
            <v>雙環</v>
          </cell>
          <cell r="CR41" t="str">
            <v>燒烤板</v>
          </cell>
          <cell r="CS41" t="str">
            <v>請按此處</v>
          </cell>
          <cell r="CT41" t="str">
            <v>請按此處</v>
          </cell>
          <cell r="CU41" t="str">
            <v>請按此處</v>
          </cell>
          <cell r="CV41">
            <v>7.4</v>
          </cell>
          <cell r="CW41">
            <v>16.28</v>
          </cell>
          <cell r="CX41"/>
          <cell r="CY41" t="str">
            <v>氣喉接駁位置：爐底後方右角</v>
          </cell>
          <cell r="CZ41" t="str">
            <v>速遞 -組合式後方接氣款式</v>
          </cell>
          <cell r="DA41" t="str">
            <v>速遞 - 改良項目</v>
          </cell>
          <cell r="DF41"/>
          <cell r="DG41"/>
        </row>
        <row r="42">
          <cell r="A42" t="str">
            <v>TRJB11M</v>
          </cell>
          <cell r="B42" t="str">
            <v>停售</v>
          </cell>
          <cell r="E42" t="str">
            <v xml:space="preserve">TGC </v>
          </cell>
          <cell r="H42" t="str">
            <v>TRJB11M-C 極炎火</v>
          </cell>
          <cell r="I42" t="str">
            <v>操作資料</v>
          </cell>
          <cell r="J42" t="str">
            <v>說明書</v>
          </cell>
          <cell r="K42" t="str">
            <v>2008年12月31日</v>
          </cell>
          <cell r="M42" t="str">
            <v>日本</v>
          </cell>
          <cell r="O42" t="str">
            <v>請按此處</v>
          </cell>
          <cell r="P42">
            <v>55</v>
          </cell>
          <cell r="Q42">
            <v>2.1653543307086616</v>
          </cell>
          <cell r="R42">
            <v>69</v>
          </cell>
          <cell r="S42">
            <v>2.7165354330708662</v>
          </cell>
          <cell r="T42">
            <v>130</v>
          </cell>
          <cell r="U42">
            <v>5.1181102362204731</v>
          </cell>
          <cell r="V42">
            <v>310</v>
          </cell>
          <cell r="W42">
            <v>12.20472440944882</v>
          </cell>
          <cell r="X42">
            <v>522</v>
          </cell>
          <cell r="Y42">
            <v>20.551181102362207</v>
          </cell>
          <cell r="AA42">
            <v>0</v>
          </cell>
          <cell r="AC42" t="str">
            <v>268 x 490 (10.6" x 19.3")</v>
          </cell>
          <cell r="AD42">
            <v>1</v>
          </cell>
          <cell r="AJ42">
            <v>21.6</v>
          </cell>
          <cell r="AK42">
            <v>0</v>
          </cell>
          <cell r="AL42">
            <v>0</v>
          </cell>
          <cell r="AM42">
            <v>0</v>
          </cell>
          <cell r="AN42">
            <v>0</v>
          </cell>
          <cell r="AO42">
            <v>1.08</v>
          </cell>
          <cell r="AP42">
            <v>0</v>
          </cell>
          <cell r="AQ42">
            <v>0</v>
          </cell>
          <cell r="AR42">
            <v>0</v>
          </cell>
          <cell r="AS42">
            <v>0</v>
          </cell>
          <cell r="AT42">
            <v>6</v>
          </cell>
          <cell r="AY42">
            <v>0.3</v>
          </cell>
          <cell r="BD42">
            <v>20495.744680800002</v>
          </cell>
          <cell r="BE42">
            <v>0</v>
          </cell>
          <cell r="BF42">
            <v>0</v>
          </cell>
          <cell r="BG42">
            <v>0</v>
          </cell>
          <cell r="BH42">
            <v>0</v>
          </cell>
          <cell r="BI42">
            <v>1024.7872340399999</v>
          </cell>
          <cell r="BJ42">
            <v>0</v>
          </cell>
          <cell r="BK42">
            <v>0</v>
          </cell>
          <cell r="BL42">
            <v>0</v>
          </cell>
          <cell r="BM42">
            <v>0</v>
          </cell>
          <cell r="BN42">
            <v>5.6376000000000008</v>
          </cell>
          <cell r="BO42">
            <v>0</v>
          </cell>
          <cell r="BP42">
            <v>0</v>
          </cell>
          <cell r="BQ42">
            <v>0</v>
          </cell>
          <cell r="BR42">
            <v>0</v>
          </cell>
          <cell r="BS42">
            <v>0.28188000000000002</v>
          </cell>
          <cell r="BT42">
            <v>0</v>
          </cell>
          <cell r="BU42">
            <v>0</v>
          </cell>
          <cell r="BV42">
            <v>0</v>
          </cell>
          <cell r="BW42">
            <v>0</v>
          </cell>
          <cell r="BX42" t="str">
            <v>可以</v>
          </cell>
          <cell r="CC42" t="str">
            <v>(1) 採用不銹鋼爐架，外型典雅，堅固穏定，底部設有定位針，避免轉動刮花玻璃面。
(2) 採用Schott德國製造陶瓷玻璃。
(3) 每個爐頭承重量大約10KG (即22磅)</v>
          </cell>
          <cell r="CD42" t="str">
            <v>不適用</v>
          </cell>
          <cell r="CE42" t="str">
            <v>一枚C型1.5V</v>
          </cell>
          <cell r="CF42" t="str">
            <v>爐底中央前方</v>
          </cell>
          <cell r="CG42" t="str">
            <v>黑色陶瓷玻璃配銀色鋁合金框架</v>
          </cell>
          <cell r="CH42" t="str">
            <v>旋鈕式</v>
          </cell>
          <cell r="CI42" t="str">
            <v>旋鈕式</v>
          </cell>
          <cell r="CJ42" t="str">
            <v>三環</v>
          </cell>
          <cell r="CK42" t="str">
            <v>不適用</v>
          </cell>
          <cell r="CL42" t="str">
            <v>不適用</v>
          </cell>
          <cell r="CM42" t="str">
            <v>不適用</v>
          </cell>
          <cell r="CN42" t="str">
            <v>不適用</v>
          </cell>
          <cell r="CO42" t="str">
            <v>不適用</v>
          </cell>
          <cell r="CP42" t="str">
            <v>不適用</v>
          </cell>
          <cell r="CQ42" t="str">
            <v>不適用</v>
          </cell>
          <cell r="CR42" t="str">
            <v>圓形六邊承托架</v>
          </cell>
          <cell r="CS42" t="str">
            <v>請按此處</v>
          </cell>
          <cell r="CT42" t="str">
            <v>請按此處</v>
          </cell>
          <cell r="CU42" t="str">
            <v>請按此處</v>
          </cell>
          <cell r="CV42">
            <v>8.9</v>
          </cell>
          <cell r="CW42">
            <v>19.580000000000002</v>
          </cell>
          <cell r="CX42"/>
          <cell r="CY42" t="str">
            <v>氣喉接駁位置：爐底後方右角</v>
          </cell>
        </row>
        <row r="43">
          <cell r="A43" t="str">
            <v>TRJB11N</v>
          </cell>
          <cell r="B43" t="str">
            <v>停售</v>
          </cell>
          <cell r="E43" t="str">
            <v>TGC</v>
          </cell>
          <cell r="H43" t="str">
            <v>TRJB11N-C 內炎火</v>
          </cell>
          <cell r="I43" t="str">
            <v>操作資料</v>
          </cell>
          <cell r="J43" t="str">
            <v>說明書</v>
          </cell>
          <cell r="K43" t="str">
            <v>2008年12月31日</v>
          </cell>
          <cell r="L43" t="str">
            <v>2019年3月11日</v>
          </cell>
          <cell r="M43" t="str">
            <v>日本</v>
          </cell>
          <cell r="N43" t="str">
            <v>已停售</v>
          </cell>
          <cell r="O43" t="str">
            <v>請按此處</v>
          </cell>
          <cell r="P43">
            <v>55</v>
          </cell>
          <cell r="Q43">
            <v>2.1653543307086616</v>
          </cell>
          <cell r="R43">
            <v>69</v>
          </cell>
          <cell r="S43">
            <v>2.7165354330708662</v>
          </cell>
          <cell r="T43">
            <v>95</v>
          </cell>
          <cell r="U43">
            <v>3.7401574803149606</v>
          </cell>
          <cell r="V43">
            <v>310</v>
          </cell>
          <cell r="W43">
            <v>12.20472440944882</v>
          </cell>
          <cell r="X43">
            <v>522</v>
          </cell>
          <cell r="Y43">
            <v>20.551181102362207</v>
          </cell>
          <cell r="AA43">
            <v>0</v>
          </cell>
          <cell r="AC43" t="str">
            <v>268 x 490 (10.6" x 19.3")</v>
          </cell>
          <cell r="AD43">
            <v>1</v>
          </cell>
          <cell r="AJ43">
            <v>15.120000000000001</v>
          </cell>
          <cell r="AK43">
            <v>0</v>
          </cell>
          <cell r="AL43">
            <v>0</v>
          </cell>
          <cell r="AM43">
            <v>0</v>
          </cell>
          <cell r="AN43">
            <v>0</v>
          </cell>
          <cell r="AO43">
            <v>1.8</v>
          </cell>
          <cell r="AP43">
            <v>0</v>
          </cell>
          <cell r="AQ43">
            <v>0</v>
          </cell>
          <cell r="AR43">
            <v>0</v>
          </cell>
          <cell r="AS43">
            <v>0</v>
          </cell>
          <cell r="AT43">
            <v>4.2</v>
          </cell>
          <cell r="AY43">
            <v>0.5</v>
          </cell>
          <cell r="BD43">
            <v>14347.021276560001</v>
          </cell>
          <cell r="BE43">
            <v>0</v>
          </cell>
          <cell r="BF43">
            <v>0</v>
          </cell>
          <cell r="BG43">
            <v>0</v>
          </cell>
          <cell r="BH43">
            <v>0</v>
          </cell>
          <cell r="BI43">
            <v>1707.9787234</v>
          </cell>
          <cell r="BJ43">
            <v>0</v>
          </cell>
          <cell r="BK43">
            <v>0</v>
          </cell>
          <cell r="BL43">
            <v>0</v>
          </cell>
          <cell r="BM43">
            <v>0</v>
          </cell>
          <cell r="BN43">
            <v>3.9463200000000005</v>
          </cell>
          <cell r="BO43">
            <v>0</v>
          </cell>
          <cell r="BP43">
            <v>0</v>
          </cell>
          <cell r="BQ43">
            <v>0</v>
          </cell>
          <cell r="BR43">
            <v>0</v>
          </cell>
          <cell r="BS43">
            <v>0.46980000000000005</v>
          </cell>
          <cell r="BT43">
            <v>0</v>
          </cell>
          <cell r="BU43">
            <v>0</v>
          </cell>
          <cell r="BV43">
            <v>0</v>
          </cell>
          <cell r="BW43">
            <v>0</v>
          </cell>
          <cell r="BX43" t="str">
            <v>不可以</v>
          </cell>
          <cell r="CC43" t="str">
            <v>(1) 採用不銹鋼爐架，外型典雅，堅固穏定，底部設有定位針，避免轉動刮花玻璃面。
(2) 採用Schott德國製造陶瓷玻璃。
(3) 每個爐頭承重量大約10KG (即22磅)</v>
          </cell>
          <cell r="CD43" t="str">
            <v>不適用</v>
          </cell>
          <cell r="CE43" t="str">
            <v>一枚C型1.5V</v>
          </cell>
          <cell r="CF43" t="str">
            <v>爐底中央前方</v>
          </cell>
          <cell r="CG43" t="str">
            <v>黑色陶瓷玻璃配銀色鋁合金框架</v>
          </cell>
          <cell r="CH43" t="str">
            <v>旋鈕式</v>
          </cell>
          <cell r="CI43" t="str">
            <v>旋鈕式</v>
          </cell>
          <cell r="CJ43" t="str">
            <v>單環</v>
          </cell>
          <cell r="CK43" t="str">
            <v>不適用</v>
          </cell>
          <cell r="CL43" t="str">
            <v>不適用</v>
          </cell>
          <cell r="CM43" t="str">
            <v>不適用</v>
          </cell>
          <cell r="CN43" t="str">
            <v>不適用</v>
          </cell>
          <cell r="CO43" t="str">
            <v>不適用</v>
          </cell>
          <cell r="CP43" t="str">
            <v>不適用</v>
          </cell>
          <cell r="CQ43" t="str">
            <v>不適用</v>
          </cell>
          <cell r="CR43" t="str">
            <v>圓形六邊承托架</v>
          </cell>
          <cell r="CS43" t="str">
            <v>請按此處</v>
          </cell>
          <cell r="CT43" t="str">
            <v>請按此處</v>
          </cell>
          <cell r="CU43" t="str">
            <v>請按此處</v>
          </cell>
          <cell r="CV43">
            <v>6</v>
          </cell>
          <cell r="CW43">
            <v>13.200000000000001</v>
          </cell>
          <cell r="CX43"/>
          <cell r="CY43" t="str">
            <v>氣喉接駁位置：爐底後方右角</v>
          </cell>
          <cell r="CZ43" t="str">
            <v>速遞 -組合式後方接氣款式</v>
          </cell>
          <cell r="DA43" t="str">
            <v>速遞 - 改良項目</v>
          </cell>
          <cell r="DF43"/>
          <cell r="DG43"/>
        </row>
        <row r="44">
          <cell r="A44" t="str">
            <v>GH2C</v>
          </cell>
          <cell r="B44" t="str">
            <v>停售</v>
          </cell>
          <cell r="C44" t="str">
            <v>更換爐具注意事項，請看備註。</v>
          </cell>
          <cell r="E44" t="str">
            <v>Chef</v>
          </cell>
          <cell r="F44" t="str">
            <v>GH2C</v>
          </cell>
          <cell r="K44" t="str">
            <v>資料不詳</v>
          </cell>
          <cell r="L44" t="str">
            <v>2010年3月12日</v>
          </cell>
          <cell r="M44" t="str">
            <v>澳洲</v>
          </cell>
          <cell r="N44" t="str">
            <v>已停售</v>
          </cell>
          <cell r="O44" t="str">
            <v>請按此處</v>
          </cell>
          <cell r="P44">
            <v>40</v>
          </cell>
          <cell r="Q44">
            <v>1.5748031496062993</v>
          </cell>
          <cell r="R44">
            <v>48</v>
          </cell>
          <cell r="S44">
            <v>1.8897637795275593</v>
          </cell>
          <cell r="U44">
            <v>0</v>
          </cell>
          <cell r="V44">
            <v>750</v>
          </cell>
          <cell r="W44">
            <v>29.527559055118111</v>
          </cell>
          <cell r="X44">
            <v>410</v>
          </cell>
          <cell r="Y44">
            <v>16.141732283464567</v>
          </cell>
          <cell r="Z44">
            <v>390</v>
          </cell>
          <cell r="AA44">
            <v>15.354330708661418</v>
          </cell>
          <cell r="AC44" t="str">
            <v>670 x 350 (26.4" x 13.8")</v>
          </cell>
          <cell r="AD44">
            <v>2</v>
          </cell>
          <cell r="AE44" t="str">
            <v>左</v>
          </cell>
          <cell r="AF44" t="str">
            <v>右</v>
          </cell>
          <cell r="AJ44">
            <v>15.120000000000001</v>
          </cell>
          <cell r="AK44">
            <v>10.08</v>
          </cell>
          <cell r="AL44">
            <v>0</v>
          </cell>
          <cell r="AM44">
            <v>0</v>
          </cell>
          <cell r="AN44">
            <v>0</v>
          </cell>
          <cell r="AO44">
            <v>0</v>
          </cell>
          <cell r="AP44">
            <v>0</v>
          </cell>
          <cell r="AQ44">
            <v>0</v>
          </cell>
          <cell r="AR44">
            <v>0</v>
          </cell>
          <cell r="AS44">
            <v>0</v>
          </cell>
          <cell r="AT44">
            <v>4.2</v>
          </cell>
          <cell r="AU44">
            <v>2.8</v>
          </cell>
          <cell r="BD44">
            <v>14347.021276560001</v>
          </cell>
          <cell r="BE44">
            <v>9564.6808510399987</v>
          </cell>
          <cell r="BF44">
            <v>0</v>
          </cell>
          <cell r="BG44">
            <v>0</v>
          </cell>
          <cell r="BH44">
            <v>0</v>
          </cell>
          <cell r="BI44">
            <v>0</v>
          </cell>
          <cell r="BJ44">
            <v>0</v>
          </cell>
          <cell r="BK44">
            <v>0</v>
          </cell>
          <cell r="BL44">
            <v>0</v>
          </cell>
          <cell r="BM44">
            <v>0</v>
          </cell>
          <cell r="BN44">
            <v>3.9463200000000005</v>
          </cell>
          <cell r="BO44">
            <v>2.6308800000000003</v>
          </cell>
          <cell r="BP44">
            <v>0</v>
          </cell>
          <cell r="BQ44">
            <v>0</v>
          </cell>
          <cell r="BR44">
            <v>0</v>
          </cell>
          <cell r="BS44">
            <v>0</v>
          </cell>
          <cell r="BT44">
            <v>0</v>
          </cell>
          <cell r="BU44">
            <v>0</v>
          </cell>
          <cell r="BV44">
            <v>0</v>
          </cell>
          <cell r="BW44">
            <v>0</v>
          </cell>
          <cell r="BX44" t="str">
            <v>不可以</v>
          </cell>
          <cell r="BY44" t="str">
            <v>不可以</v>
          </cell>
          <cell r="CD44" t="str">
            <v>220V,13A</v>
          </cell>
          <cell r="CE44" t="str">
            <v>不適用</v>
          </cell>
          <cell r="CF44" t="str">
            <v>不適用</v>
          </cell>
          <cell r="CG44" t="str">
            <v>黑色強化玻璃
白色強化玻璃</v>
          </cell>
          <cell r="CH44" t="str">
            <v>旋鈕式</v>
          </cell>
          <cell r="CI44" t="str">
            <v>旋鈕式</v>
          </cell>
          <cell r="CJ44" t="str">
            <v>三環</v>
          </cell>
          <cell r="CK44" t="str">
            <v>單環</v>
          </cell>
          <cell r="CL44" t="str">
            <v>不適用</v>
          </cell>
          <cell r="CM44" t="str">
            <v>不適用</v>
          </cell>
          <cell r="CN44" t="str">
            <v>不適用</v>
          </cell>
          <cell r="CO44" t="str">
            <v>不適用</v>
          </cell>
          <cell r="CP44" t="str">
            <v>不適用</v>
          </cell>
          <cell r="CQ44" t="str">
            <v>不適用</v>
          </cell>
          <cell r="CR44" t="str">
            <v>圓形五邊承托架 x 2</v>
          </cell>
          <cell r="CS44" t="str">
            <v>不適用</v>
          </cell>
          <cell r="CT44" t="str">
            <v>不適用</v>
          </cell>
          <cell r="CU44" t="str">
            <v>不適用</v>
          </cell>
          <cell r="CW44">
            <v>0</v>
          </cell>
          <cell r="CX44" t="str">
            <v>請注意：此爐具機身較薄，若爐底有洗衣機 或 櫥櫃有層板或櫃箱，因原來的安裝位置高度不足，當安裝新爐時，有機會需要更改灶台面以加裝厚身框架，將高度加高，故需安排睇位服務。</v>
          </cell>
          <cell r="CY44" t="str">
            <v>氣喉接駁位置：爐底後方右角</v>
          </cell>
        </row>
        <row r="45">
          <cell r="A45" t="str">
            <v>GH2HK</v>
          </cell>
          <cell r="B45" t="str">
            <v>停售</v>
          </cell>
          <cell r="C45" t="str">
            <v>更換爐具注意事項，請看備註。</v>
          </cell>
          <cell r="E45" t="str">
            <v>Chef</v>
          </cell>
          <cell r="F45" t="str">
            <v>GH2HK</v>
          </cell>
          <cell r="M45" t="str">
            <v>澳洲</v>
          </cell>
          <cell r="N45" t="str">
            <v>已停售</v>
          </cell>
          <cell r="O45" t="str">
            <v>請按此處</v>
          </cell>
          <cell r="P45">
            <v>40</v>
          </cell>
          <cell r="Q45">
            <v>1.5748031496062993</v>
          </cell>
          <cell r="R45">
            <v>48</v>
          </cell>
          <cell r="S45">
            <v>1.8897637795275593</v>
          </cell>
          <cell r="U45">
            <v>0</v>
          </cell>
          <cell r="V45">
            <v>750</v>
          </cell>
          <cell r="W45">
            <v>29.527559055118111</v>
          </cell>
          <cell r="X45">
            <v>410</v>
          </cell>
          <cell r="Y45">
            <v>16.141732283464567</v>
          </cell>
          <cell r="Z45">
            <v>390</v>
          </cell>
          <cell r="AA45">
            <v>15.354330708661418</v>
          </cell>
          <cell r="AC45" t="str">
            <v>670 x 350 (26.4" x 13.8")</v>
          </cell>
          <cell r="AD45">
            <v>2</v>
          </cell>
          <cell r="AE45" t="str">
            <v>左</v>
          </cell>
          <cell r="AF45" t="str">
            <v>右</v>
          </cell>
          <cell r="AJ45">
            <v>13.68</v>
          </cell>
          <cell r="AK45">
            <v>10.08</v>
          </cell>
          <cell r="AL45">
            <v>0</v>
          </cell>
          <cell r="AM45">
            <v>0</v>
          </cell>
          <cell r="AN45">
            <v>0</v>
          </cell>
          <cell r="AO45">
            <v>0</v>
          </cell>
          <cell r="AP45">
            <v>0</v>
          </cell>
          <cell r="AQ45">
            <v>0</v>
          </cell>
          <cell r="AR45">
            <v>0</v>
          </cell>
          <cell r="AS45">
            <v>0</v>
          </cell>
          <cell r="AT45">
            <v>3.8</v>
          </cell>
          <cell r="AU45">
            <v>2.8</v>
          </cell>
          <cell r="BD45">
            <v>12980.63829784</v>
          </cell>
          <cell r="BE45">
            <v>9564.6808510399987</v>
          </cell>
          <cell r="BF45">
            <v>0</v>
          </cell>
          <cell r="BG45">
            <v>0</v>
          </cell>
          <cell r="BH45">
            <v>0</v>
          </cell>
          <cell r="BI45">
            <v>0</v>
          </cell>
          <cell r="BJ45">
            <v>0</v>
          </cell>
          <cell r="BK45">
            <v>0</v>
          </cell>
          <cell r="BL45">
            <v>0</v>
          </cell>
          <cell r="BM45">
            <v>0</v>
          </cell>
          <cell r="BN45">
            <v>3.5704799999999999</v>
          </cell>
          <cell r="BO45">
            <v>2.6308800000000003</v>
          </cell>
          <cell r="BP45">
            <v>0</v>
          </cell>
          <cell r="BQ45">
            <v>0</v>
          </cell>
          <cell r="BR45">
            <v>0</v>
          </cell>
          <cell r="BS45">
            <v>0</v>
          </cell>
          <cell r="BT45">
            <v>0</v>
          </cell>
          <cell r="BU45">
            <v>0</v>
          </cell>
          <cell r="BV45">
            <v>0</v>
          </cell>
          <cell r="BW45">
            <v>0</v>
          </cell>
          <cell r="BX45" t="str">
            <v>不可以</v>
          </cell>
          <cell r="BY45" t="str">
            <v>不可以</v>
          </cell>
          <cell r="CD45" t="str">
            <v>220V,13A</v>
          </cell>
          <cell r="CE45" t="str">
            <v>不適用</v>
          </cell>
          <cell r="CF45" t="str">
            <v>不適用</v>
          </cell>
          <cell r="CG45" t="str">
            <v>黑色強化玻璃
白色強化玻璃</v>
          </cell>
          <cell r="CH45" t="str">
            <v>旋鈕式</v>
          </cell>
          <cell r="CI45" t="str">
            <v>旋鈕式</v>
          </cell>
          <cell r="CJ45" t="str">
            <v>三環</v>
          </cell>
          <cell r="CK45" t="str">
            <v>單環</v>
          </cell>
          <cell r="CL45" t="str">
            <v>不適用</v>
          </cell>
          <cell r="CM45" t="str">
            <v>不適用</v>
          </cell>
          <cell r="CN45" t="str">
            <v>不適用</v>
          </cell>
          <cell r="CO45" t="str">
            <v>不適用</v>
          </cell>
          <cell r="CP45" t="str">
            <v>不適用</v>
          </cell>
          <cell r="CQ45" t="str">
            <v>不適用</v>
          </cell>
          <cell r="CR45" t="str">
            <v>圓形五邊承托架 x 2</v>
          </cell>
          <cell r="CS45" t="str">
            <v>不適用</v>
          </cell>
          <cell r="CT45" t="str">
            <v>不適用</v>
          </cell>
          <cell r="CU45" t="str">
            <v>不適用</v>
          </cell>
          <cell r="CW45">
            <v>0</v>
          </cell>
          <cell r="CX45" t="str">
            <v>請注意：此爐具機身較薄，若爐底有洗衣機 或 櫥櫃有層板或櫃箱，因原來的安裝位置高度不足，當安裝新爐時，有機會需要更改灶台面以加裝厚身框架，將高度加高，故需安排睇位服務。</v>
          </cell>
        </row>
        <row r="46">
          <cell r="A46" t="str">
            <v>RDB22A-A</v>
          </cell>
          <cell r="B46" t="str">
            <v>停售</v>
          </cell>
          <cell r="E46" t="str">
            <v>Simpa</v>
          </cell>
          <cell r="H46" t="str">
            <v>RDB22A-A - 交流電打火</v>
          </cell>
          <cell r="I46" t="str">
            <v>說明書</v>
          </cell>
          <cell r="K46" t="str">
            <v>2003年11月13日</v>
          </cell>
          <cell r="L46" t="str">
            <v>2011年6月20日</v>
          </cell>
          <cell r="M46" t="str">
            <v>印尼</v>
          </cell>
          <cell r="N46" t="str">
            <v>已停售</v>
          </cell>
          <cell r="O46" t="str">
            <v>請按此處</v>
          </cell>
          <cell r="P46">
            <v>75</v>
          </cell>
          <cell r="Q46">
            <v>2.9527559055118111</v>
          </cell>
          <cell r="R46">
            <v>85</v>
          </cell>
          <cell r="S46">
            <v>3.3464566929133861</v>
          </cell>
          <cell r="U46">
            <v>0</v>
          </cell>
          <cell r="V46">
            <v>714</v>
          </cell>
          <cell r="W46">
            <v>28.110236220472441</v>
          </cell>
          <cell r="X46">
            <v>424</v>
          </cell>
          <cell r="Y46">
            <v>16.692913385826774</v>
          </cell>
          <cell r="Z46">
            <v>400</v>
          </cell>
          <cell r="AA46">
            <v>15.748031496062993</v>
          </cell>
          <cell r="AC46" t="str">
            <v>670 x 350 (26.4" x 13.8")</v>
          </cell>
          <cell r="AD46">
            <v>2</v>
          </cell>
          <cell r="AE46" t="str">
            <v>左</v>
          </cell>
          <cell r="AF46" t="str">
            <v>右</v>
          </cell>
          <cell r="AJ46">
            <v>17.28</v>
          </cell>
          <cell r="AK46">
            <v>17.28</v>
          </cell>
          <cell r="AL46">
            <v>0</v>
          </cell>
          <cell r="AM46">
            <v>0</v>
          </cell>
          <cell r="AN46">
            <v>0</v>
          </cell>
          <cell r="AO46">
            <v>3.24</v>
          </cell>
          <cell r="AP46">
            <v>3.24</v>
          </cell>
          <cell r="AQ46">
            <v>0</v>
          </cell>
          <cell r="AR46">
            <v>0</v>
          </cell>
          <cell r="AS46">
            <v>0</v>
          </cell>
          <cell r="AT46">
            <v>4.8</v>
          </cell>
          <cell r="AU46">
            <v>4.8</v>
          </cell>
          <cell r="AY46">
            <v>0.9</v>
          </cell>
          <cell r="AZ46">
            <v>0.9</v>
          </cell>
          <cell r="BD46">
            <v>16396.595744639999</v>
          </cell>
          <cell r="BE46">
            <v>16396.595744639999</v>
          </cell>
          <cell r="BF46">
            <v>0</v>
          </cell>
          <cell r="BG46">
            <v>0</v>
          </cell>
          <cell r="BH46">
            <v>0</v>
          </cell>
          <cell r="BI46">
            <v>3074.3617021200002</v>
          </cell>
          <cell r="BJ46">
            <v>3074.3617021200002</v>
          </cell>
          <cell r="BK46">
            <v>0</v>
          </cell>
          <cell r="BL46">
            <v>0</v>
          </cell>
          <cell r="BM46">
            <v>0</v>
          </cell>
          <cell r="BN46">
            <v>4.5100800000000003</v>
          </cell>
          <cell r="BO46">
            <v>4.5100800000000003</v>
          </cell>
          <cell r="BP46">
            <v>0</v>
          </cell>
          <cell r="BQ46">
            <v>0</v>
          </cell>
          <cell r="BR46">
            <v>0</v>
          </cell>
          <cell r="BS46">
            <v>0.84564000000000006</v>
          </cell>
          <cell r="BT46">
            <v>0.84564000000000006</v>
          </cell>
          <cell r="BU46">
            <v>0</v>
          </cell>
          <cell r="BV46">
            <v>0</v>
          </cell>
          <cell r="BW46">
            <v>0</v>
          </cell>
          <cell r="BX46" t="str">
            <v>不可以</v>
          </cell>
          <cell r="BY46" t="str">
            <v>不可以</v>
          </cell>
          <cell r="CC46" t="str">
            <v>(1) 配合人體工學(Ergonomics)設計的“S”流線型旋鈕，易於調校火力。
(2) 旋鈕顏色有白色和水藍色(Aqua Colour)可供選擇。</v>
          </cell>
          <cell r="CD46" t="str">
            <v>220V,13A</v>
          </cell>
          <cell r="CE46" t="str">
            <v>不適用</v>
          </cell>
          <cell r="CF46" t="str">
            <v>不適用</v>
          </cell>
          <cell r="CG46" t="str">
            <v>白色搪瓷
不銹鋼</v>
          </cell>
          <cell r="CH46" t="str">
            <v>旋鈕式</v>
          </cell>
          <cell r="CI46" t="str">
            <v>旋鈕式</v>
          </cell>
          <cell r="CJ46" t="str">
            <v>雙環 x 2</v>
          </cell>
          <cell r="CK46" t="str">
            <v>不適用</v>
          </cell>
          <cell r="CL46" t="str">
            <v>不適用</v>
          </cell>
          <cell r="CM46" t="str">
            <v>不適用</v>
          </cell>
          <cell r="CN46" t="str">
            <v>不適用</v>
          </cell>
          <cell r="CO46" t="str">
            <v>不適用</v>
          </cell>
          <cell r="CP46" t="str">
            <v>不適用</v>
          </cell>
          <cell r="CQ46" t="str">
            <v>不適用</v>
          </cell>
          <cell r="CR46" t="str">
            <v>長形爐架</v>
          </cell>
          <cell r="CS46" t="str">
            <v>請按此處</v>
          </cell>
          <cell r="CT46" t="str">
            <v>請按此處</v>
          </cell>
          <cell r="CU46" t="str">
            <v>請按此處</v>
          </cell>
          <cell r="CV46">
            <v>11.5</v>
          </cell>
          <cell r="CW46">
            <v>25.3</v>
          </cell>
          <cell r="CX46" t="str">
            <v>銅合金爐頭蓋和爐頭座表面均為黑色陶瓷處理。
由枱面至爐架頂部 5.5cm及由爐面至爐架頂部 3.5cm。</v>
          </cell>
          <cell r="CY46" t="str">
            <v>氣喉接駁位置：爐底後方右角</v>
          </cell>
        </row>
        <row r="47">
          <cell r="A47" t="str">
            <v>RDB22A-B</v>
          </cell>
          <cell r="B47" t="str">
            <v xml:space="preserve">停售 </v>
          </cell>
          <cell r="E47" t="str">
            <v>Simpa</v>
          </cell>
          <cell r="F47" t="str">
            <v>RDB22A-B - 電池打火</v>
          </cell>
          <cell r="G47" t="str">
            <v>RDB22A-B - 電池打火</v>
          </cell>
          <cell r="H47" t="str">
            <v>RDB22A-B - 電池打火</v>
          </cell>
          <cell r="I47" t="str">
            <v>說明書</v>
          </cell>
          <cell r="K47" t="str">
            <v>2003年11月13日</v>
          </cell>
          <cell r="L47" t="str">
            <v>2013年11月1日</v>
          </cell>
          <cell r="M47" t="str">
            <v>印尼</v>
          </cell>
          <cell r="N47" t="str">
            <v>已停售</v>
          </cell>
          <cell r="O47" t="str">
            <v>請按此處</v>
          </cell>
          <cell r="P47">
            <v>75</v>
          </cell>
          <cell r="Q47">
            <v>2.9527559055118111</v>
          </cell>
          <cell r="R47">
            <v>85</v>
          </cell>
          <cell r="S47">
            <v>3.3464566929133861</v>
          </cell>
          <cell r="U47">
            <v>0</v>
          </cell>
          <cell r="V47">
            <v>714</v>
          </cell>
          <cell r="W47">
            <v>28.110236220472441</v>
          </cell>
          <cell r="X47">
            <v>424</v>
          </cell>
          <cell r="Y47">
            <v>16.692913385826774</v>
          </cell>
          <cell r="Z47">
            <v>400</v>
          </cell>
          <cell r="AA47">
            <v>15.748031496062993</v>
          </cell>
          <cell r="AC47" t="str">
            <v>670 x 350 (26.4" x 13.8")</v>
          </cell>
          <cell r="AD47">
            <v>2</v>
          </cell>
          <cell r="AE47" t="str">
            <v>左</v>
          </cell>
          <cell r="AF47" t="str">
            <v>右</v>
          </cell>
          <cell r="AJ47">
            <v>17.28</v>
          </cell>
          <cell r="AK47">
            <v>17.28</v>
          </cell>
          <cell r="AL47">
            <v>0</v>
          </cell>
          <cell r="AM47">
            <v>0</v>
          </cell>
          <cell r="AN47">
            <v>0</v>
          </cell>
          <cell r="AO47">
            <v>3.24</v>
          </cell>
          <cell r="AP47">
            <v>3.24</v>
          </cell>
          <cell r="AQ47">
            <v>0</v>
          </cell>
          <cell r="AR47">
            <v>0</v>
          </cell>
          <cell r="AS47">
            <v>0</v>
          </cell>
          <cell r="AT47">
            <v>4.8</v>
          </cell>
          <cell r="AU47">
            <v>4.8</v>
          </cell>
          <cell r="AY47">
            <v>0.9</v>
          </cell>
          <cell r="AZ47">
            <v>0.9</v>
          </cell>
          <cell r="BD47">
            <v>16396.595744639999</v>
          </cell>
          <cell r="BE47">
            <v>16396.595744639999</v>
          </cell>
          <cell r="BF47">
            <v>0</v>
          </cell>
          <cell r="BG47">
            <v>0</v>
          </cell>
          <cell r="BH47">
            <v>0</v>
          </cell>
          <cell r="BI47">
            <v>3074.3617021200002</v>
          </cell>
          <cell r="BJ47">
            <v>3074.3617021200002</v>
          </cell>
          <cell r="BK47">
            <v>0</v>
          </cell>
          <cell r="BL47">
            <v>0</v>
          </cell>
          <cell r="BM47">
            <v>0</v>
          </cell>
          <cell r="BN47">
            <v>4.5100800000000003</v>
          </cell>
          <cell r="BO47">
            <v>4.5100800000000003</v>
          </cell>
          <cell r="BP47">
            <v>0</v>
          </cell>
          <cell r="BQ47">
            <v>0</v>
          </cell>
          <cell r="BR47">
            <v>0</v>
          </cell>
          <cell r="BS47">
            <v>0.84564000000000006</v>
          </cell>
          <cell r="BT47">
            <v>0.84564000000000006</v>
          </cell>
          <cell r="BU47">
            <v>0</v>
          </cell>
          <cell r="BV47">
            <v>0</v>
          </cell>
          <cell r="BW47">
            <v>0</v>
          </cell>
          <cell r="BX47" t="str">
            <v>不可以</v>
          </cell>
          <cell r="BY47" t="str">
            <v>不可以</v>
          </cell>
          <cell r="CC47" t="str">
            <v>(1) 配合人體工學(Ergonomics)設計的“S”流線型旋鈕，易於調校火力。
(2) 旋鈕顏色有白色和水藍色(Aqua Colour)可供選擇。</v>
          </cell>
          <cell r="CD47" t="str">
            <v>不適用</v>
          </cell>
          <cell r="CE47" t="str">
            <v>一枚C型1.5V</v>
          </cell>
          <cell r="CF47" t="str">
            <v>爐底右前方</v>
          </cell>
          <cell r="CG47" t="str">
            <v>白色搪瓷
不銹鋼</v>
          </cell>
          <cell r="CH47" t="str">
            <v>旋鈕式</v>
          </cell>
          <cell r="CI47" t="str">
            <v>旋鈕式</v>
          </cell>
          <cell r="CJ47" t="str">
            <v>雙環 x 2</v>
          </cell>
          <cell r="CK47" t="str">
            <v>不適用</v>
          </cell>
          <cell r="CL47" t="str">
            <v>不適用</v>
          </cell>
          <cell r="CM47" t="str">
            <v>不適用</v>
          </cell>
          <cell r="CN47" t="str">
            <v>不適用</v>
          </cell>
          <cell r="CO47" t="str">
            <v>不適用</v>
          </cell>
          <cell r="CP47" t="str">
            <v>不適用</v>
          </cell>
          <cell r="CQ47" t="str">
            <v>不適用</v>
          </cell>
          <cell r="CR47" t="str">
            <v>長形爐架</v>
          </cell>
          <cell r="CS47" t="str">
            <v>請按此處</v>
          </cell>
          <cell r="CT47" t="str">
            <v>請按此處</v>
          </cell>
          <cell r="CU47" t="str">
            <v>請按此處</v>
          </cell>
          <cell r="CV47">
            <v>11.5</v>
          </cell>
          <cell r="CW47">
            <v>25.3</v>
          </cell>
          <cell r="CX47" t="str">
            <v>銅合金爐頭蓋和爐頭座表面均為黑色陶瓷處理。
 由枱面至爐架頂部 5.5cm及由爐面至爐架頂部 3.5cm。</v>
          </cell>
          <cell r="CY47" t="str">
            <v>氣喉接駁位置：爐底後方右角</v>
          </cell>
        </row>
        <row r="48">
          <cell r="A48" t="str">
            <v>SRJB72</v>
          </cell>
          <cell r="B48" t="str">
            <v>停售</v>
          </cell>
          <cell r="E48" t="str">
            <v>Simpa</v>
          </cell>
          <cell r="F48" t="str">
            <v>SRJB72</v>
          </cell>
          <cell r="I48" t="str">
            <v>操作資料</v>
          </cell>
          <cell r="J48" t="str">
            <v>講義</v>
          </cell>
          <cell r="K48" t="str">
            <v>2005年11月11日</v>
          </cell>
          <cell r="L48" t="str">
            <v>2012年9月1日</v>
          </cell>
          <cell r="M48" t="str">
            <v>日本</v>
          </cell>
          <cell r="N48" t="str">
            <v>已停售</v>
          </cell>
          <cell r="O48" t="str">
            <v>請按此處</v>
          </cell>
          <cell r="P48">
            <v>70</v>
          </cell>
          <cell r="Q48">
            <v>2.7559055118110236</v>
          </cell>
          <cell r="R48">
            <v>85</v>
          </cell>
          <cell r="S48">
            <v>3.3464566929133861</v>
          </cell>
          <cell r="T48">
            <v>144</v>
          </cell>
          <cell r="U48">
            <v>5.6692913385826778</v>
          </cell>
          <cell r="V48">
            <v>757</v>
          </cell>
          <cell r="W48">
            <v>29.803149606299215</v>
          </cell>
          <cell r="X48">
            <v>472</v>
          </cell>
          <cell r="Y48">
            <v>18.582677165354333</v>
          </cell>
          <cell r="Z48">
            <v>390</v>
          </cell>
          <cell r="AA48">
            <v>15.354330708661418</v>
          </cell>
          <cell r="AC48" t="str">
            <v>703 x 403 (27.7" x 15.9")</v>
          </cell>
          <cell r="AD48">
            <v>2</v>
          </cell>
          <cell r="AE48" t="str">
            <v>左</v>
          </cell>
          <cell r="AF48" t="str">
            <v>右</v>
          </cell>
          <cell r="AJ48">
            <v>17.28</v>
          </cell>
          <cell r="AK48">
            <v>17.28</v>
          </cell>
          <cell r="AL48">
            <v>0</v>
          </cell>
          <cell r="AM48">
            <v>0</v>
          </cell>
          <cell r="AN48">
            <v>0</v>
          </cell>
          <cell r="AO48">
            <v>1.08</v>
          </cell>
          <cell r="AP48">
            <v>1.08</v>
          </cell>
          <cell r="AQ48">
            <v>0</v>
          </cell>
          <cell r="AR48">
            <v>0</v>
          </cell>
          <cell r="AS48">
            <v>0</v>
          </cell>
          <cell r="AT48">
            <v>4.8</v>
          </cell>
          <cell r="AU48">
            <v>4.8</v>
          </cell>
          <cell r="AY48">
            <v>0.3</v>
          </cell>
          <cell r="AZ48">
            <v>0.3</v>
          </cell>
          <cell r="BD48">
            <v>16396.595744639999</v>
          </cell>
          <cell r="BE48">
            <v>16396.595744639999</v>
          </cell>
          <cell r="BF48">
            <v>0</v>
          </cell>
          <cell r="BG48">
            <v>0</v>
          </cell>
          <cell r="BH48">
            <v>0</v>
          </cell>
          <cell r="BI48">
            <v>1024.7872340399999</v>
          </cell>
          <cell r="BJ48">
            <v>1024.7872340399999</v>
          </cell>
          <cell r="BK48">
            <v>0</v>
          </cell>
          <cell r="BL48">
            <v>0</v>
          </cell>
          <cell r="BM48">
            <v>0</v>
          </cell>
          <cell r="BN48">
            <v>4.5100800000000003</v>
          </cell>
          <cell r="BO48">
            <v>4.5100800000000003</v>
          </cell>
          <cell r="BP48">
            <v>0</v>
          </cell>
          <cell r="BQ48">
            <v>0</v>
          </cell>
          <cell r="BR48">
            <v>0</v>
          </cell>
          <cell r="BS48">
            <v>0.28188000000000002</v>
          </cell>
          <cell r="BT48">
            <v>0.28188000000000002</v>
          </cell>
          <cell r="BU48">
            <v>0</v>
          </cell>
          <cell r="BV48">
            <v>0</v>
          </cell>
          <cell r="BW48">
            <v>0</v>
          </cell>
          <cell r="BX48" t="str">
            <v>可以</v>
          </cell>
          <cell r="BY48" t="str">
            <v>可以</v>
          </cell>
          <cell r="CC48" t="str">
            <v>特大火力比起一般市面的嵌入式爐頭更適合講究鑊氣的中式烹飪</v>
          </cell>
          <cell r="CD48" t="str">
            <v>不適用</v>
          </cell>
          <cell r="CE48" t="str">
            <v>兩枚D型1.5V</v>
          </cell>
          <cell r="CF48" t="str">
            <v>爐底中央近左前方</v>
          </cell>
          <cell r="CG48" t="str">
            <v>白色搪瓷
不銹鋼
雲石花紋搪瓷 (3/8/11停售 )</v>
          </cell>
          <cell r="CH48" t="str">
            <v>旋鈕式</v>
          </cell>
          <cell r="CI48" t="str">
            <v>旋鈕式</v>
          </cell>
          <cell r="CJ48" t="str">
            <v>雙環 x 2</v>
          </cell>
          <cell r="CK48" t="str">
            <v>不適用</v>
          </cell>
          <cell r="CL48" t="str">
            <v>不適用</v>
          </cell>
          <cell r="CM48" t="str">
            <v>不適用</v>
          </cell>
          <cell r="CN48" t="str">
            <v>不適用</v>
          </cell>
          <cell r="CO48" t="str">
            <v>不適用</v>
          </cell>
          <cell r="CP48" t="str">
            <v>不適用</v>
          </cell>
          <cell r="CQ48" t="str">
            <v>不適用</v>
          </cell>
          <cell r="CR48" t="str">
            <v>圓形五邊承托架</v>
          </cell>
          <cell r="CS48" t="str">
            <v>請按此處</v>
          </cell>
          <cell r="CT48" t="str">
            <v>請按此處</v>
          </cell>
          <cell r="CU48" t="str">
            <v>請按此處</v>
          </cell>
          <cell r="CV48">
            <v>12</v>
          </cell>
          <cell r="CW48">
            <v>26.400000000000002</v>
          </cell>
          <cell r="CX48" t="str">
            <v>爐架直徑：架底是7吋、架頂是9吋。</v>
          </cell>
          <cell r="CY48" t="str">
            <v>氣喉接駁位置：爐底後方右角</v>
          </cell>
        </row>
        <row r="49">
          <cell r="A49" t="str">
            <v>SRJB72S</v>
          </cell>
          <cell r="B49" t="str">
            <v>停售</v>
          </cell>
          <cell r="E49" t="str">
            <v>Simpa</v>
          </cell>
          <cell r="F49" t="str">
            <v>SRJB72S</v>
          </cell>
          <cell r="I49" t="str">
            <v>講義</v>
          </cell>
          <cell r="J49" t="str">
            <v>說明書</v>
          </cell>
          <cell r="K49" t="str">
            <v>2008年5月8日</v>
          </cell>
          <cell r="L49" t="str">
            <v>2024年9月12日</v>
          </cell>
          <cell r="M49" t="str">
            <v>日本</v>
          </cell>
          <cell r="N49" t="str">
            <v>已停售</v>
          </cell>
          <cell r="O49" t="str">
            <v>請按此處</v>
          </cell>
          <cell r="P49">
            <v>54</v>
          </cell>
          <cell r="Q49">
            <v>2.1259842519685042</v>
          </cell>
          <cell r="R49">
            <v>63</v>
          </cell>
          <cell r="S49">
            <v>2.4803149606299213</v>
          </cell>
          <cell r="T49">
            <v>126</v>
          </cell>
          <cell r="U49">
            <v>4.9606299212598426</v>
          </cell>
          <cell r="V49">
            <v>750</v>
          </cell>
          <cell r="W49">
            <v>29.527559055118111</v>
          </cell>
          <cell r="X49">
            <v>470</v>
          </cell>
          <cell r="Y49">
            <v>18.503937007874018</v>
          </cell>
          <cell r="Z49">
            <v>470</v>
          </cell>
          <cell r="AA49">
            <v>18.503937007874018</v>
          </cell>
          <cell r="AC49" t="str">
            <v>703 x 403 (27.7" x 15.9")</v>
          </cell>
          <cell r="AD49">
            <v>2</v>
          </cell>
          <cell r="AE49" t="str">
            <v>左</v>
          </cell>
          <cell r="AF49" t="str">
            <v>右</v>
          </cell>
          <cell r="AJ49">
            <v>19.8</v>
          </cell>
          <cell r="AK49">
            <v>19.8</v>
          </cell>
          <cell r="AL49">
            <v>0</v>
          </cell>
          <cell r="AM49">
            <v>0</v>
          </cell>
          <cell r="AN49">
            <v>0</v>
          </cell>
          <cell r="AO49">
            <v>1.08</v>
          </cell>
          <cell r="AP49">
            <v>1.08</v>
          </cell>
          <cell r="AQ49">
            <v>0</v>
          </cell>
          <cell r="AR49">
            <v>0</v>
          </cell>
          <cell r="AS49">
            <v>0</v>
          </cell>
          <cell r="AT49">
            <v>5.5</v>
          </cell>
          <cell r="AU49">
            <v>5.5</v>
          </cell>
          <cell r="AY49">
            <v>0.3</v>
          </cell>
          <cell r="AZ49">
            <v>0.3</v>
          </cell>
          <cell r="BD49">
            <v>18787.765957399999</v>
          </cell>
          <cell r="BE49">
            <v>18787.765957399999</v>
          </cell>
          <cell r="BF49">
            <v>0</v>
          </cell>
          <cell r="BG49">
            <v>0</v>
          </cell>
          <cell r="BH49">
            <v>0</v>
          </cell>
          <cell r="BI49">
            <v>1024.7872340399999</v>
          </cell>
          <cell r="BJ49">
            <v>1024.7872340399999</v>
          </cell>
          <cell r="BK49">
            <v>0</v>
          </cell>
          <cell r="BL49">
            <v>0</v>
          </cell>
          <cell r="BM49">
            <v>0</v>
          </cell>
          <cell r="BN49">
            <v>5.1678000000000006</v>
          </cell>
          <cell r="BO49">
            <v>5.1678000000000006</v>
          </cell>
          <cell r="BP49">
            <v>0</v>
          </cell>
          <cell r="BQ49">
            <v>0</v>
          </cell>
          <cell r="BR49">
            <v>0</v>
          </cell>
          <cell r="BS49">
            <v>0.28188000000000002</v>
          </cell>
          <cell r="BT49">
            <v>0.28188000000000002</v>
          </cell>
          <cell r="BU49">
            <v>0</v>
          </cell>
          <cell r="BV49">
            <v>0</v>
          </cell>
          <cell r="BW49">
            <v>0</v>
          </cell>
          <cell r="BX49" t="str">
            <v>可以</v>
          </cell>
          <cell r="BY49" t="str">
            <v>可以</v>
          </cell>
          <cell r="CC49" t="str">
            <v>(1) 密封式爐頭設計，食物汁不會輕易溢進爐頭內。
(2) 特厚1.6毫米水晶搪瓷面板，堅固耐用。
(3) 堅固鑄造爐架，能更穩定地使用煮食器皿。</v>
          </cell>
          <cell r="CD49" t="str">
            <v>不適用</v>
          </cell>
          <cell r="CE49" t="str">
            <v>一枚C型1.5V</v>
          </cell>
          <cell r="CF49" t="str">
            <v>爐底右前方</v>
          </cell>
          <cell r="CG49" t="str">
            <v>黑色水晶搪瓷</v>
          </cell>
          <cell r="CH49" t="str">
            <v>旋鈕式</v>
          </cell>
          <cell r="CI49" t="str">
            <v>旋鈕式</v>
          </cell>
          <cell r="CJ49" t="str">
            <v>雙環 x 2</v>
          </cell>
          <cell r="CK49" t="str">
            <v>不適用</v>
          </cell>
          <cell r="CL49" t="str">
            <v>不適用</v>
          </cell>
          <cell r="CM49" t="str">
            <v>不適用</v>
          </cell>
          <cell r="CN49" t="str">
            <v>不適用</v>
          </cell>
          <cell r="CO49" t="str">
            <v>不適用</v>
          </cell>
          <cell r="CP49" t="str">
            <v>不適用</v>
          </cell>
          <cell r="CQ49" t="str">
            <v>不適用</v>
          </cell>
          <cell r="CR49" t="str">
            <v>圓形五邊承托架</v>
          </cell>
          <cell r="CS49" t="str">
            <v>請按此處</v>
          </cell>
          <cell r="CT49" t="str">
            <v>請按此處</v>
          </cell>
          <cell r="CU49" t="str">
            <v>請按此處</v>
          </cell>
          <cell r="CV49">
            <v>16</v>
          </cell>
          <cell r="CW49">
            <v>35.200000000000003</v>
          </cell>
          <cell r="CX49" t="str">
            <v>細環 (黑色部分) 是用銅 SIMMER CAP , 拿起細環, 下面爐坐 (銀色部分) 是用鋁</v>
          </cell>
          <cell r="CY49" t="str">
            <v>氣喉接駁位置：爐底後方右角</v>
          </cell>
          <cell r="DF49"/>
          <cell r="DG49"/>
          <cell r="DI49" t="str">
            <v>information from CSH/13/0050682</v>
          </cell>
        </row>
        <row r="50">
          <cell r="A50" t="str">
            <v>SUZB62</v>
          </cell>
          <cell r="B50" t="str">
            <v>停售</v>
          </cell>
          <cell r="E50" t="str">
            <v>Simpa</v>
          </cell>
          <cell r="F50" t="str">
            <v>SUZB62-G</v>
          </cell>
          <cell r="I50" t="str">
            <v>講義</v>
          </cell>
          <cell r="J50" t="str">
            <v>說明書</v>
          </cell>
          <cell r="K50" t="str">
            <v>2009年7月31日</v>
          </cell>
          <cell r="L50" t="str">
            <v>2025年3月22日</v>
          </cell>
          <cell r="M50" t="str">
            <v>中國中山</v>
          </cell>
          <cell r="N50" t="str">
            <v>已停售</v>
          </cell>
          <cell r="O50" t="str">
            <v>請按此處</v>
          </cell>
          <cell r="P50">
            <v>60</v>
          </cell>
          <cell r="Q50">
            <v>2.3622047244094491</v>
          </cell>
          <cell r="R50">
            <v>68</v>
          </cell>
          <cell r="S50">
            <v>2.6771653543307088</v>
          </cell>
          <cell r="T50">
            <v>122</v>
          </cell>
          <cell r="U50">
            <v>4.8031496062992129</v>
          </cell>
          <cell r="V50">
            <v>750</v>
          </cell>
          <cell r="W50">
            <v>29.527559055118111</v>
          </cell>
          <cell r="X50">
            <v>450</v>
          </cell>
          <cell r="Y50">
            <v>17.716535433070867</v>
          </cell>
          <cell r="Z50">
            <v>444.5</v>
          </cell>
          <cell r="AA50">
            <v>17.5</v>
          </cell>
          <cell r="AC50" t="str">
            <v>670 x 350 (26.4" x 13.8")</v>
          </cell>
          <cell r="AD50">
            <v>2</v>
          </cell>
          <cell r="AE50" t="str">
            <v>左</v>
          </cell>
          <cell r="AF50" t="str">
            <v>右</v>
          </cell>
          <cell r="AJ50">
            <v>17.28</v>
          </cell>
          <cell r="AK50">
            <v>17.28</v>
          </cell>
          <cell r="AL50">
            <v>0</v>
          </cell>
          <cell r="AM50">
            <v>0</v>
          </cell>
          <cell r="AN50">
            <v>0</v>
          </cell>
          <cell r="AO50">
            <v>1.4400000000000002</v>
          </cell>
          <cell r="AP50">
            <v>1.4400000000000002</v>
          </cell>
          <cell r="AQ50">
            <v>0</v>
          </cell>
          <cell r="AR50">
            <v>0</v>
          </cell>
          <cell r="AS50">
            <v>0</v>
          </cell>
          <cell r="AT50">
            <v>4.8</v>
          </cell>
          <cell r="AU50">
            <v>4.8</v>
          </cell>
          <cell r="AY50">
            <v>0.4</v>
          </cell>
          <cell r="AZ50">
            <v>0.4</v>
          </cell>
          <cell r="BD50">
            <v>16396.595744639999</v>
          </cell>
          <cell r="BE50">
            <v>16396.595744639999</v>
          </cell>
          <cell r="BF50">
            <v>0</v>
          </cell>
          <cell r="BG50">
            <v>0</v>
          </cell>
          <cell r="BH50">
            <v>0</v>
          </cell>
          <cell r="BI50">
            <v>1366.3829787200002</v>
          </cell>
          <cell r="BJ50">
            <v>1366.3829787200002</v>
          </cell>
          <cell r="BK50">
            <v>0</v>
          </cell>
          <cell r="BL50">
            <v>0</v>
          </cell>
          <cell r="BM50">
            <v>0</v>
          </cell>
          <cell r="BN50">
            <v>4.5100800000000003</v>
          </cell>
          <cell r="BO50">
            <v>4.5100800000000003</v>
          </cell>
          <cell r="BP50">
            <v>0</v>
          </cell>
          <cell r="BQ50">
            <v>0</v>
          </cell>
          <cell r="BR50">
            <v>0</v>
          </cell>
          <cell r="BS50">
            <v>0.37584000000000006</v>
          </cell>
          <cell r="BT50">
            <v>0.37584000000000006</v>
          </cell>
          <cell r="BU50">
            <v>0</v>
          </cell>
          <cell r="BV50">
            <v>0</v>
          </cell>
          <cell r="BW50">
            <v>0</v>
          </cell>
          <cell r="BX50" t="str">
            <v>可以</v>
          </cell>
          <cell r="BY50" t="str">
            <v>可以</v>
          </cell>
          <cell r="CD50" t="str">
            <v>不適用</v>
          </cell>
          <cell r="CE50" t="str">
            <v>一枚D型1.5V</v>
          </cell>
          <cell r="CF50" t="str">
            <v>爐底左前方</v>
          </cell>
          <cell r="CG50" t="str">
            <v>黑色強化玻璃</v>
          </cell>
          <cell r="CH50" t="str">
            <v>旋鈕式</v>
          </cell>
          <cell r="CI50" t="str">
            <v>旋鈕式</v>
          </cell>
          <cell r="CJ50" t="str">
            <v>雙環 x 2</v>
          </cell>
          <cell r="CK50" t="str">
            <v>不適用</v>
          </cell>
          <cell r="CL50" t="str">
            <v>不適用</v>
          </cell>
          <cell r="CM50" t="str">
            <v>不適用</v>
          </cell>
          <cell r="CN50" t="str">
            <v>不適用</v>
          </cell>
          <cell r="CO50" t="str">
            <v>不適用</v>
          </cell>
          <cell r="CP50" t="str">
            <v>不適用</v>
          </cell>
          <cell r="CQ50" t="str">
            <v>不適用</v>
          </cell>
          <cell r="CR50" t="str">
            <v>圓形五邊承托架</v>
          </cell>
          <cell r="CS50" t="str">
            <v>請按此處</v>
          </cell>
          <cell r="CT50" t="str">
            <v>不適用</v>
          </cell>
          <cell r="CU50" t="str">
            <v>請按此處</v>
          </cell>
          <cell r="CV50">
            <v>15.8</v>
          </cell>
          <cell r="CW50">
            <v>34.760000000000005</v>
          </cell>
          <cell r="CX50"/>
          <cell r="CY50" t="str">
            <v>氣喉接駁位置：爐底後方右角</v>
          </cell>
          <cell r="DF50"/>
        </row>
        <row r="51">
          <cell r="A51" t="str">
            <v>RB2GVA</v>
          </cell>
          <cell r="B51" t="str">
            <v>停售</v>
          </cell>
          <cell r="E51" t="str">
            <v>TGC</v>
          </cell>
          <cell r="G51" t="str">
            <v>RB2GVA - 交流電打火</v>
          </cell>
          <cell r="I51" t="str">
            <v>RB2GV電線位置</v>
          </cell>
          <cell r="J51" t="str">
            <v>爐架適配器</v>
          </cell>
          <cell r="K51" t="str">
            <v>2002年4月26日</v>
          </cell>
          <cell r="L51" t="str">
            <v>2011年6月22日</v>
          </cell>
          <cell r="M51" t="str">
            <v>台灣</v>
          </cell>
          <cell r="N51" t="str">
            <v>已停售</v>
          </cell>
          <cell r="O51" t="str">
            <v>請按此處</v>
          </cell>
          <cell r="P51">
            <v>55</v>
          </cell>
          <cell r="Q51">
            <v>2.1653543307086616</v>
          </cell>
          <cell r="R51">
            <v>63</v>
          </cell>
          <cell r="S51">
            <v>2.4803149606299213</v>
          </cell>
          <cell r="U51">
            <v>0</v>
          </cell>
          <cell r="V51">
            <v>750</v>
          </cell>
          <cell r="W51">
            <v>29.527559055118111</v>
          </cell>
          <cell r="X51">
            <v>450</v>
          </cell>
          <cell r="Y51">
            <v>17.716535433070867</v>
          </cell>
          <cell r="Z51">
            <v>400</v>
          </cell>
          <cell r="AA51">
            <v>15.748031496062993</v>
          </cell>
          <cell r="AC51" t="str">
            <v>670 x 350 (26.4" x 13.8")</v>
          </cell>
          <cell r="AD51">
            <v>2</v>
          </cell>
          <cell r="AE51" t="str">
            <v>左</v>
          </cell>
          <cell r="AF51" t="str">
            <v>右</v>
          </cell>
          <cell r="AJ51">
            <v>17.28</v>
          </cell>
          <cell r="AK51">
            <v>17.28</v>
          </cell>
          <cell r="AL51">
            <v>0</v>
          </cell>
          <cell r="AM51">
            <v>0</v>
          </cell>
          <cell r="AN51">
            <v>0</v>
          </cell>
          <cell r="AO51">
            <v>3.24</v>
          </cell>
          <cell r="AP51">
            <v>3.24</v>
          </cell>
          <cell r="AQ51">
            <v>0</v>
          </cell>
          <cell r="AR51">
            <v>0</v>
          </cell>
          <cell r="AS51">
            <v>0</v>
          </cell>
          <cell r="AT51">
            <v>4.8</v>
          </cell>
          <cell r="AU51">
            <v>4.8</v>
          </cell>
          <cell r="AY51">
            <v>0.9</v>
          </cell>
          <cell r="AZ51">
            <v>0.9</v>
          </cell>
          <cell r="BD51">
            <v>16396.595744639999</v>
          </cell>
          <cell r="BE51">
            <v>16396.595744639999</v>
          </cell>
          <cell r="BF51">
            <v>0</v>
          </cell>
          <cell r="BG51">
            <v>0</v>
          </cell>
          <cell r="BH51">
            <v>0</v>
          </cell>
          <cell r="BI51">
            <v>3074.3617021200002</v>
          </cell>
          <cell r="BJ51">
            <v>3074.3617021200002</v>
          </cell>
          <cell r="BK51">
            <v>0</v>
          </cell>
          <cell r="BL51">
            <v>0</v>
          </cell>
          <cell r="BM51">
            <v>0</v>
          </cell>
          <cell r="BN51">
            <v>4.5100800000000003</v>
          </cell>
          <cell r="BO51">
            <v>4.5100800000000003</v>
          </cell>
          <cell r="BP51">
            <v>0</v>
          </cell>
          <cell r="BQ51">
            <v>0</v>
          </cell>
          <cell r="BR51">
            <v>0</v>
          </cell>
          <cell r="BS51">
            <v>0.84564000000000006</v>
          </cell>
          <cell r="BT51">
            <v>0.84564000000000006</v>
          </cell>
          <cell r="BU51">
            <v>0</v>
          </cell>
          <cell r="BV51">
            <v>0</v>
          </cell>
          <cell r="BW51">
            <v>0</v>
          </cell>
          <cell r="BX51" t="str">
            <v>不可以</v>
          </cell>
          <cell r="BY51" t="str">
            <v>不可以</v>
          </cell>
          <cell r="CC51" t="str">
            <v>採用澳洲製造強化玻璃，堅固耐用，玻璃面兩邊成弧形。</v>
          </cell>
          <cell r="CD51" t="str">
            <v>220V,13A</v>
          </cell>
          <cell r="CE51" t="str">
            <v>不適用</v>
          </cell>
          <cell r="CF51" t="str">
            <v>不適用</v>
          </cell>
          <cell r="CG51" t="str">
            <v>黑色強化玻璃
白色強化玻璃</v>
          </cell>
          <cell r="CH51" t="str">
            <v>旋鈕式</v>
          </cell>
          <cell r="CI51" t="str">
            <v>旋鈕式</v>
          </cell>
          <cell r="CJ51" t="str">
            <v>雙環 x 2</v>
          </cell>
          <cell r="CK51" t="str">
            <v>不適用</v>
          </cell>
          <cell r="CL51" t="str">
            <v>不適用</v>
          </cell>
          <cell r="CM51" t="str">
            <v>不適用</v>
          </cell>
          <cell r="CN51" t="str">
            <v>不適用</v>
          </cell>
          <cell r="CO51" t="str">
            <v>不適用</v>
          </cell>
          <cell r="CP51" t="str">
            <v>不適用</v>
          </cell>
          <cell r="CQ51" t="str">
            <v>不適用</v>
          </cell>
          <cell r="CR51" t="str">
            <v>圓形五邊承托架</v>
          </cell>
          <cell r="CS51" t="str">
            <v>請按此處</v>
          </cell>
          <cell r="CT51" t="str">
            <v>不適用</v>
          </cell>
          <cell r="CU51" t="str">
            <v>請按此處</v>
          </cell>
          <cell r="CV51">
            <v>17</v>
          </cell>
          <cell r="CW51">
            <v>37.400000000000006</v>
          </cell>
          <cell r="CX51" t="str">
            <v>爐頭蓋亦有金色﹝拋光銅合金﹞、銀色﹝鍍鉻銅合金 Chromium plated﹞和黑色﹝陶瓷表面處理 Ceramic coated﹞，可供選擇。
銀色爐頭已停售。</v>
          </cell>
          <cell r="CY51" t="str">
            <v>氣喉接駁位置：爐底後方右角</v>
          </cell>
        </row>
        <row r="52">
          <cell r="A52" t="str">
            <v>RB2GVB</v>
          </cell>
          <cell r="B52" t="str">
            <v>停售</v>
          </cell>
          <cell r="E52" t="str">
            <v>TGC</v>
          </cell>
          <cell r="G52" t="str">
            <v>RB2GVB - 電池打火</v>
          </cell>
          <cell r="I52" t="str">
            <v>爐架適配器</v>
          </cell>
          <cell r="K52" t="str">
            <v>2002年4月26日</v>
          </cell>
          <cell r="M52" t="str">
            <v>台灣</v>
          </cell>
          <cell r="N52" t="str">
            <v>已停售</v>
          </cell>
          <cell r="O52" t="str">
            <v>請按此處</v>
          </cell>
          <cell r="P52">
            <v>55</v>
          </cell>
          <cell r="Q52">
            <v>2.1653543307086616</v>
          </cell>
          <cell r="R52">
            <v>63</v>
          </cell>
          <cell r="S52">
            <v>2.4803149606299213</v>
          </cell>
          <cell r="U52">
            <v>0</v>
          </cell>
          <cell r="V52">
            <v>750</v>
          </cell>
          <cell r="W52">
            <v>29.527559055118111</v>
          </cell>
          <cell r="X52">
            <v>450</v>
          </cell>
          <cell r="Y52">
            <v>17.716535433070867</v>
          </cell>
          <cell r="Z52">
            <v>400</v>
          </cell>
          <cell r="AA52">
            <v>15.748031496062993</v>
          </cell>
          <cell r="AC52" t="str">
            <v>670 x 350 (26.4" x 13.8")</v>
          </cell>
          <cell r="AD52">
            <v>2</v>
          </cell>
          <cell r="AE52" t="str">
            <v>左</v>
          </cell>
          <cell r="AF52" t="str">
            <v>右</v>
          </cell>
          <cell r="AJ52">
            <v>17.28</v>
          </cell>
          <cell r="AK52">
            <v>17.28</v>
          </cell>
          <cell r="AL52">
            <v>0</v>
          </cell>
          <cell r="AM52">
            <v>0</v>
          </cell>
          <cell r="AN52">
            <v>0</v>
          </cell>
          <cell r="AO52">
            <v>3.24</v>
          </cell>
          <cell r="AP52">
            <v>3.24</v>
          </cell>
          <cell r="AQ52">
            <v>0</v>
          </cell>
          <cell r="AR52">
            <v>0</v>
          </cell>
          <cell r="AS52">
            <v>0</v>
          </cell>
          <cell r="AT52">
            <v>4.8</v>
          </cell>
          <cell r="AU52">
            <v>4.8</v>
          </cell>
          <cell r="AY52">
            <v>0.9</v>
          </cell>
          <cell r="AZ52">
            <v>0.9</v>
          </cell>
          <cell r="BD52">
            <v>16396.595744639999</v>
          </cell>
          <cell r="BE52">
            <v>16396.595744639999</v>
          </cell>
          <cell r="BF52">
            <v>0</v>
          </cell>
          <cell r="BG52">
            <v>0</v>
          </cell>
          <cell r="BH52">
            <v>0</v>
          </cell>
          <cell r="BI52">
            <v>3074.3617021200002</v>
          </cell>
          <cell r="BJ52">
            <v>3074.3617021200002</v>
          </cell>
          <cell r="BK52">
            <v>0</v>
          </cell>
          <cell r="BL52">
            <v>0</v>
          </cell>
          <cell r="BM52">
            <v>0</v>
          </cell>
          <cell r="BN52">
            <v>4.5100800000000003</v>
          </cell>
          <cell r="BO52">
            <v>4.5100800000000003</v>
          </cell>
          <cell r="BP52">
            <v>0</v>
          </cell>
          <cell r="BQ52">
            <v>0</v>
          </cell>
          <cell r="BR52">
            <v>0</v>
          </cell>
          <cell r="BS52">
            <v>0.84564000000000006</v>
          </cell>
          <cell r="BT52">
            <v>0.84564000000000006</v>
          </cell>
          <cell r="BU52">
            <v>0</v>
          </cell>
          <cell r="BV52">
            <v>0</v>
          </cell>
          <cell r="BW52">
            <v>0</v>
          </cell>
          <cell r="BX52" t="str">
            <v>不可以</v>
          </cell>
          <cell r="BY52" t="str">
            <v>不可以</v>
          </cell>
          <cell r="CC52" t="str">
            <v>採用澳洲製造強化玻璃，堅固耐用，玻璃面兩邊成弧形。</v>
          </cell>
          <cell r="CD52" t="str">
            <v>不適用</v>
          </cell>
          <cell r="CE52" t="str">
            <v>一枚D型1.5V</v>
          </cell>
          <cell r="CF52" t="str">
            <v>爐底中央近右邊</v>
          </cell>
          <cell r="CG52" t="str">
            <v>黑色強化玻璃
白色強化玻璃</v>
          </cell>
          <cell r="CH52" t="str">
            <v>旋鈕式</v>
          </cell>
          <cell r="CI52" t="str">
            <v>旋鈕式</v>
          </cell>
          <cell r="CJ52" t="str">
            <v>雙環 x 2</v>
          </cell>
          <cell r="CK52" t="str">
            <v>不適用</v>
          </cell>
          <cell r="CL52" t="str">
            <v>不適用</v>
          </cell>
          <cell r="CM52" t="str">
            <v>不適用</v>
          </cell>
          <cell r="CN52" t="str">
            <v>不適用</v>
          </cell>
          <cell r="CO52" t="str">
            <v>不適用</v>
          </cell>
          <cell r="CP52" t="str">
            <v>不適用</v>
          </cell>
          <cell r="CQ52" t="str">
            <v>不適用</v>
          </cell>
          <cell r="CR52" t="str">
            <v>圓形五邊承托架</v>
          </cell>
          <cell r="CS52" t="str">
            <v>請按此處</v>
          </cell>
          <cell r="CT52" t="str">
            <v>不適用</v>
          </cell>
          <cell r="CU52" t="str">
            <v>請按此處</v>
          </cell>
          <cell r="CV52">
            <v>17</v>
          </cell>
          <cell r="CW52">
            <v>37.400000000000006</v>
          </cell>
          <cell r="CX52" t="str">
            <v>爐頭蓋亦有金色﹝拋光銅合金﹞、銀色﹝鍍鉻銅合金 Chromium plated﹞和黑色﹝陶瓷表面處理 Ceramic coated﹞，可供選擇。
銀色爐頭已停售。</v>
          </cell>
          <cell r="CY52" t="str">
            <v>氣喉接駁位置：爐底後方右角</v>
          </cell>
        </row>
        <row r="53">
          <cell r="A53" t="str">
            <v>RTB72-G</v>
          </cell>
          <cell r="B53" t="str">
            <v>停售</v>
          </cell>
          <cell r="E53" t="str">
            <v>TGC</v>
          </cell>
          <cell r="F53" t="str">
            <v>RTB72-G</v>
          </cell>
          <cell r="G53" t="str">
            <v>RTB72-G</v>
          </cell>
          <cell r="I53" t="str">
            <v>爐架適配架</v>
          </cell>
          <cell r="K53" t="str">
            <v>2005年5月13日</v>
          </cell>
          <cell r="L53" t="str">
            <v>2013年8月20日</v>
          </cell>
          <cell r="M53" t="str">
            <v>台灣</v>
          </cell>
          <cell r="N53" t="str">
            <v>已停售</v>
          </cell>
          <cell r="O53" t="str">
            <v>請按此處</v>
          </cell>
          <cell r="P53">
            <v>55</v>
          </cell>
          <cell r="Q53">
            <v>2.1653543307086616</v>
          </cell>
          <cell r="R53">
            <v>65</v>
          </cell>
          <cell r="S53">
            <v>2.5590551181102366</v>
          </cell>
          <cell r="U53">
            <v>0</v>
          </cell>
          <cell r="V53">
            <v>750</v>
          </cell>
          <cell r="W53">
            <v>29.527559055118111</v>
          </cell>
          <cell r="X53">
            <v>450</v>
          </cell>
          <cell r="Y53">
            <v>17.716535433070867</v>
          </cell>
          <cell r="Z53">
            <v>450</v>
          </cell>
          <cell r="AA53">
            <v>17.716535433070867</v>
          </cell>
          <cell r="AC53" t="str">
            <v>703 x 403 (27.7" x 15.9")</v>
          </cell>
          <cell r="AD53">
            <v>2</v>
          </cell>
          <cell r="AE53" t="str">
            <v>左</v>
          </cell>
          <cell r="AF53" t="str">
            <v>右</v>
          </cell>
          <cell r="AJ53">
            <v>17.28</v>
          </cell>
          <cell r="AK53">
            <v>17.28</v>
          </cell>
          <cell r="AL53">
            <v>0</v>
          </cell>
          <cell r="AM53">
            <v>0</v>
          </cell>
          <cell r="AN53">
            <v>0</v>
          </cell>
          <cell r="AO53">
            <v>3.24</v>
          </cell>
          <cell r="AP53">
            <v>3.24</v>
          </cell>
          <cell r="AQ53">
            <v>0</v>
          </cell>
          <cell r="AR53">
            <v>0</v>
          </cell>
          <cell r="AS53">
            <v>0</v>
          </cell>
          <cell r="AT53">
            <v>4.8</v>
          </cell>
          <cell r="AU53">
            <v>4.8</v>
          </cell>
          <cell r="AY53">
            <v>0.9</v>
          </cell>
          <cell r="AZ53">
            <v>0.9</v>
          </cell>
          <cell r="BD53">
            <v>16396.595744639999</v>
          </cell>
          <cell r="BE53">
            <v>16396.595744639999</v>
          </cell>
          <cell r="BF53">
            <v>0</v>
          </cell>
          <cell r="BG53">
            <v>0</v>
          </cell>
          <cell r="BH53">
            <v>0</v>
          </cell>
          <cell r="BI53">
            <v>3074.3617021200002</v>
          </cell>
          <cell r="BJ53">
            <v>3074.3617021200002</v>
          </cell>
          <cell r="BK53">
            <v>0</v>
          </cell>
          <cell r="BL53">
            <v>0</v>
          </cell>
          <cell r="BM53">
            <v>0</v>
          </cell>
          <cell r="BN53">
            <v>4.5100800000000003</v>
          </cell>
          <cell r="BO53">
            <v>4.5100800000000003</v>
          </cell>
          <cell r="BP53">
            <v>0</v>
          </cell>
          <cell r="BQ53">
            <v>0</v>
          </cell>
          <cell r="BR53">
            <v>0</v>
          </cell>
          <cell r="BS53">
            <v>0.84564000000000006</v>
          </cell>
          <cell r="BT53">
            <v>0.84564000000000006</v>
          </cell>
          <cell r="BU53">
            <v>0</v>
          </cell>
          <cell r="BV53">
            <v>0</v>
          </cell>
          <cell r="BW53">
            <v>0</v>
          </cell>
          <cell r="BX53" t="str">
            <v>不可以</v>
          </cell>
          <cell r="BY53" t="str">
            <v>不可以</v>
          </cell>
          <cell r="CC53" t="str">
            <v>採用Schott製造的強化玻璃，堅固耐用。</v>
          </cell>
          <cell r="CD53" t="str">
            <v>不適用</v>
          </cell>
          <cell r="CE53" t="str">
            <v>一枚C型1.5V</v>
          </cell>
          <cell r="CF53" t="str">
            <v>爐底前方右角</v>
          </cell>
          <cell r="CG53" t="str">
            <v>黑色Schott強化玻璃
白色Schott強化玻璃</v>
          </cell>
          <cell r="CH53" t="str">
            <v>旋鈕式</v>
          </cell>
          <cell r="CI53" t="str">
            <v>旋鈕式</v>
          </cell>
          <cell r="CJ53" t="str">
            <v>雙環 x 2</v>
          </cell>
          <cell r="CK53" t="str">
            <v>不適用</v>
          </cell>
          <cell r="CL53" t="str">
            <v>不適用</v>
          </cell>
          <cell r="CM53" t="str">
            <v>不適用</v>
          </cell>
          <cell r="CN53" t="str">
            <v>不適用</v>
          </cell>
          <cell r="CO53" t="str">
            <v>不適用</v>
          </cell>
          <cell r="CP53" t="str">
            <v>不適用</v>
          </cell>
          <cell r="CQ53" t="str">
            <v>不適用</v>
          </cell>
          <cell r="CR53" t="str">
            <v>圓形五邊承托架</v>
          </cell>
          <cell r="CS53" t="str">
            <v>請按此處</v>
          </cell>
          <cell r="CT53" t="str">
            <v>請按此處</v>
          </cell>
          <cell r="CU53" t="str">
            <v>請按此處</v>
          </cell>
          <cell r="CV53">
            <v>17</v>
          </cell>
          <cell r="CW53">
            <v>37.400000000000006</v>
          </cell>
          <cell r="CX53" t="str">
            <v>金色、銀色和黑色﹝陶瓷表面處理 Ceramic coated﹞的爐頭蓋，可供選擇。
銀色爐頭已停售。</v>
          </cell>
          <cell r="CY53" t="str">
            <v>氣喉接駁位置：爐底後方右角</v>
          </cell>
        </row>
        <row r="54">
          <cell r="A54" t="str">
            <v>RTB72E</v>
          </cell>
          <cell r="B54" t="str">
            <v>項目</v>
          </cell>
          <cell r="E54" t="str">
            <v>TGC</v>
          </cell>
          <cell r="F54" t="str">
            <v>RTB72-E</v>
          </cell>
          <cell r="M54" t="str">
            <v>台灣</v>
          </cell>
          <cell r="N54" t="str">
            <v>項目安裝</v>
          </cell>
          <cell r="O54" t="str">
            <v>請按此處</v>
          </cell>
          <cell r="P54">
            <v>55</v>
          </cell>
          <cell r="Q54">
            <v>2.1653543307086616</v>
          </cell>
          <cell r="R54">
            <v>65</v>
          </cell>
          <cell r="S54">
            <v>2.5590551181102366</v>
          </cell>
          <cell r="U54"/>
          <cell r="V54">
            <v>750</v>
          </cell>
          <cell r="W54">
            <v>29.527559055118111</v>
          </cell>
          <cell r="X54">
            <v>450</v>
          </cell>
          <cell r="Y54">
            <v>17.716535433070867</v>
          </cell>
          <cell r="AA54"/>
          <cell r="AC54" t="str">
            <v>703 x 403 (27.7" x 15.9")</v>
          </cell>
          <cell r="AD54">
            <v>2</v>
          </cell>
          <cell r="AE54" t="str">
            <v>左</v>
          </cell>
          <cell r="AF54" t="str">
            <v>右</v>
          </cell>
          <cell r="AJ54">
            <v>17.28</v>
          </cell>
          <cell r="AK54">
            <v>17.28</v>
          </cell>
          <cell r="AL54"/>
          <cell r="AM54"/>
          <cell r="AN54"/>
          <cell r="AO54"/>
          <cell r="AP54"/>
          <cell r="AQ54"/>
          <cell r="AR54"/>
          <cell r="AS54"/>
          <cell r="AT54">
            <v>4.8</v>
          </cell>
          <cell r="AU54">
            <v>4.8</v>
          </cell>
          <cell r="BD54">
            <v>16396.595744639999</v>
          </cell>
          <cell r="BE54">
            <v>16396.595744639999</v>
          </cell>
          <cell r="BF54"/>
          <cell r="BG54"/>
          <cell r="BH54"/>
          <cell r="BI54"/>
          <cell r="BJ54"/>
          <cell r="BK54"/>
          <cell r="BL54"/>
          <cell r="BM54"/>
          <cell r="BN54">
            <v>4.5100800000000003</v>
          </cell>
          <cell r="BO54">
            <v>4.5100800000000003</v>
          </cell>
          <cell r="BP54">
            <v>0</v>
          </cell>
          <cell r="BQ54">
            <v>0</v>
          </cell>
          <cell r="BR54">
            <v>0</v>
          </cell>
          <cell r="BS54">
            <v>0</v>
          </cell>
          <cell r="BT54">
            <v>0</v>
          </cell>
          <cell r="BU54">
            <v>0</v>
          </cell>
          <cell r="BV54">
            <v>0</v>
          </cell>
          <cell r="BW54">
            <v>0</v>
          </cell>
          <cell r="BX54" t="str">
            <v>資料不詳</v>
          </cell>
          <cell r="BY54" t="str">
            <v>資料不詳</v>
          </cell>
          <cell r="CC54" t="str">
            <v>(1) 火力特大。
(2) 爐頭蓋為坑糟式設計 (Slot Type)，不易堵塞，方便清潔；鍍鉻銅合金爐頭座 (Burner Base)，耐用不生銹。</v>
          </cell>
          <cell r="CD54" t="str">
            <v>不適用</v>
          </cell>
          <cell r="CE54" t="str">
            <v>一枚C型1.5V</v>
          </cell>
          <cell r="CF54" t="str">
            <v>爐底右前方</v>
          </cell>
          <cell r="CG54" t="str">
            <v>白色搪瓷</v>
          </cell>
          <cell r="CH54" t="str">
            <v>旋鈕式</v>
          </cell>
          <cell r="CI54" t="str">
            <v>旋鈕式</v>
          </cell>
          <cell r="CJ54" t="str">
            <v>雙環 x 2</v>
          </cell>
          <cell r="CK54" t="str">
            <v>不適用</v>
          </cell>
          <cell r="CL54" t="str">
            <v>不適用</v>
          </cell>
          <cell r="CM54" t="str">
            <v>不適用</v>
          </cell>
          <cell r="CN54" t="str">
            <v>不適用</v>
          </cell>
          <cell r="CO54" t="str">
            <v>不適用</v>
          </cell>
          <cell r="CP54" t="str">
            <v>不適用</v>
          </cell>
          <cell r="CQ54" t="str">
            <v>不適用</v>
          </cell>
          <cell r="CR54" t="str">
            <v>圓形五邊承托架</v>
          </cell>
          <cell r="CS54" t="str">
            <v>請按此處</v>
          </cell>
          <cell r="CT54" t="str">
            <v>不適用</v>
          </cell>
          <cell r="CU54" t="str">
            <v>請按此處</v>
          </cell>
          <cell r="CW54"/>
          <cell r="CX54"/>
        </row>
        <row r="55">
          <cell r="A55" t="str">
            <v>TRJB72P-A-B</v>
          </cell>
          <cell r="B55" t="str">
            <v>停售</v>
          </cell>
          <cell r="E55" t="str">
            <v>TGC</v>
          </cell>
          <cell r="F55" t="str">
            <v>TRJB72P-A-B (超炎火)</v>
          </cell>
          <cell r="G55" t="str">
            <v>TRJB72P-A-B (超炎火)</v>
          </cell>
          <cell r="I55" t="str">
            <v>操作資料</v>
          </cell>
          <cell r="J55" t="str">
            <v>講義</v>
          </cell>
          <cell r="K55" t="str">
            <v>2005年12月2日</v>
          </cell>
          <cell r="L55" t="str">
            <v>2010年5月24日</v>
          </cell>
          <cell r="M55" t="str">
            <v>日本</v>
          </cell>
          <cell r="N55" t="str">
            <v>已停售</v>
          </cell>
          <cell r="O55" t="str">
            <v>請按此處</v>
          </cell>
          <cell r="P55">
            <v>55</v>
          </cell>
          <cell r="Q55">
            <v>2.1653543307086616</v>
          </cell>
          <cell r="R55">
            <v>64</v>
          </cell>
          <cell r="S55">
            <v>2.5196850393700787</v>
          </cell>
          <cell r="T55">
            <v>122</v>
          </cell>
          <cell r="U55">
            <v>4.8031496062992129</v>
          </cell>
          <cell r="V55">
            <v>750</v>
          </cell>
          <cell r="W55">
            <v>29.527559055118111</v>
          </cell>
          <cell r="X55">
            <v>450</v>
          </cell>
          <cell r="Y55">
            <v>17.716535433070867</v>
          </cell>
          <cell r="AA55">
            <v>0</v>
          </cell>
          <cell r="AC55" t="str">
            <v>703 x 403 (27.7" x 15.9")</v>
          </cell>
          <cell r="AD55">
            <v>2</v>
          </cell>
          <cell r="AE55" t="str">
            <v>左</v>
          </cell>
          <cell r="AF55" t="str">
            <v>右</v>
          </cell>
          <cell r="AJ55">
            <v>18</v>
          </cell>
          <cell r="AK55">
            <v>18</v>
          </cell>
          <cell r="AL55">
            <v>0</v>
          </cell>
          <cell r="AM55">
            <v>0</v>
          </cell>
          <cell r="AN55">
            <v>0</v>
          </cell>
          <cell r="AO55">
            <v>3.24</v>
          </cell>
          <cell r="AP55">
            <v>3.24</v>
          </cell>
          <cell r="AQ55">
            <v>0</v>
          </cell>
          <cell r="AR55">
            <v>0</v>
          </cell>
          <cell r="AS55">
            <v>0</v>
          </cell>
          <cell r="AT55">
            <v>5</v>
          </cell>
          <cell r="AU55">
            <v>5</v>
          </cell>
          <cell r="AY55">
            <v>0.9</v>
          </cell>
          <cell r="AZ55">
            <v>0.9</v>
          </cell>
          <cell r="BD55">
            <v>17079.787233999999</v>
          </cell>
          <cell r="BE55">
            <v>17079.787233999999</v>
          </cell>
          <cell r="BF55">
            <v>0</v>
          </cell>
          <cell r="BG55">
            <v>0</v>
          </cell>
          <cell r="BH55">
            <v>0</v>
          </cell>
          <cell r="BI55">
            <v>3074.3617021200002</v>
          </cell>
          <cell r="BJ55">
            <v>3074.3617021200002</v>
          </cell>
          <cell r="BK55">
            <v>0</v>
          </cell>
          <cell r="BL55">
            <v>0</v>
          </cell>
          <cell r="BM55">
            <v>0</v>
          </cell>
          <cell r="BN55">
            <v>4.6980000000000004</v>
          </cell>
          <cell r="BO55">
            <v>4.6980000000000004</v>
          </cell>
          <cell r="BP55">
            <v>0</v>
          </cell>
          <cell r="BQ55">
            <v>0</v>
          </cell>
          <cell r="BR55">
            <v>0</v>
          </cell>
          <cell r="BS55">
            <v>0.84564000000000006</v>
          </cell>
          <cell r="BT55">
            <v>0.84564000000000006</v>
          </cell>
          <cell r="BU55">
            <v>0</v>
          </cell>
          <cell r="BV55">
            <v>0</v>
          </cell>
          <cell r="BW55">
            <v>0</v>
          </cell>
          <cell r="BX55" t="str">
            <v>不可以</v>
          </cell>
          <cell r="BY55" t="str">
            <v>不可以</v>
          </cell>
          <cell r="CC55" t="str">
            <v>爐頭特別為配合中式圓底鑊而設計，內環為旋風式內炎火，配合外環垂直炎孔，熱力均勻散佈煮食器具。
將爐頭的氣孔置於爐頭的周邊，亦令清潔更容易。當食物溢流，由於超炎火爐頭中心為密封設計並向外圍微微傾斜，溢出物會經周邊的氣孔順流到爐碟上，而不會直進爐頭內部。</v>
          </cell>
          <cell r="CD55" t="str">
            <v>不適用</v>
          </cell>
          <cell r="CE55" t="str">
            <v>一枚C型1.5V</v>
          </cell>
          <cell r="CF55" t="str">
            <v>爐底右前方</v>
          </cell>
          <cell r="CG55" t="str">
            <v>黑色鋁合金
金色鋁合金
銀色鋁合金</v>
          </cell>
          <cell r="CH55" t="str">
            <v>旋鈕式</v>
          </cell>
          <cell r="CI55" t="str">
            <v>無段旋鈕式</v>
          </cell>
          <cell r="CJ55" t="str">
            <v>單環 x 2</v>
          </cell>
          <cell r="CK55" t="str">
            <v>不適用</v>
          </cell>
          <cell r="CL55" t="str">
            <v>不適用</v>
          </cell>
          <cell r="CM55" t="str">
            <v>不適用</v>
          </cell>
          <cell r="CN55" t="str">
            <v>不適用</v>
          </cell>
          <cell r="CO55" t="str">
            <v>不適用</v>
          </cell>
          <cell r="CP55" t="str">
            <v>不適用</v>
          </cell>
          <cell r="CQ55" t="str">
            <v>不適用</v>
          </cell>
          <cell r="CR55" t="str">
            <v>圓形五邊承托架</v>
          </cell>
          <cell r="CS55" t="str">
            <v>請按此處</v>
          </cell>
          <cell r="CT55" t="str">
            <v>請按此處</v>
          </cell>
          <cell r="CU55" t="str">
            <v>請按此處</v>
          </cell>
          <cell r="CV55">
            <v>14</v>
          </cell>
          <cell r="CW55">
            <v>30.800000000000004</v>
          </cell>
          <cell r="CX55" t="str">
            <v>超炎火鋁合金，若用強力的清潔濟清洗，日久會退色，其原色仍是鋁合金的灰色，但沒有光澤較暗。</v>
          </cell>
          <cell r="CY55" t="str">
            <v>氣喉接駁位置：爐底後方右角</v>
          </cell>
        </row>
        <row r="56">
          <cell r="A56" t="str">
            <v>TRJB72P-C-B</v>
          </cell>
          <cell r="B56" t="str">
            <v>停售</v>
          </cell>
          <cell r="E56" t="str">
            <v>TGC</v>
          </cell>
          <cell r="F56" t="str">
            <v>TRJB72P-C-B (超炎火)</v>
          </cell>
          <cell r="K56" t="str">
            <v>2007年5月18日</v>
          </cell>
          <cell r="L56" t="str">
            <v>2009年11月12日</v>
          </cell>
          <cell r="M56" t="str">
            <v>日本</v>
          </cell>
          <cell r="N56" t="str">
            <v>已停售</v>
          </cell>
          <cell r="O56" t="str">
            <v>請按此處</v>
          </cell>
          <cell r="P56">
            <v>54</v>
          </cell>
          <cell r="Q56">
            <v>2.1259842519685042</v>
          </cell>
          <cell r="R56">
            <v>66</v>
          </cell>
          <cell r="S56">
            <v>2.598425196850394</v>
          </cell>
          <cell r="U56">
            <v>0</v>
          </cell>
          <cell r="V56">
            <v>737</v>
          </cell>
          <cell r="W56">
            <v>29.015748031496063</v>
          </cell>
          <cell r="X56">
            <v>438</v>
          </cell>
          <cell r="Y56">
            <v>17.244094488188978</v>
          </cell>
          <cell r="AA56">
            <v>0</v>
          </cell>
          <cell r="AC56" t="str">
            <v>703 x 403 (27.7" x 15.9")</v>
          </cell>
          <cell r="AD56">
            <v>2</v>
          </cell>
          <cell r="AE56" t="str">
            <v>左</v>
          </cell>
          <cell r="AF56" t="str">
            <v>右</v>
          </cell>
          <cell r="AJ56">
            <v>18.720000000000002</v>
          </cell>
          <cell r="AK56">
            <v>18.720000000000002</v>
          </cell>
          <cell r="AL56">
            <v>0</v>
          </cell>
          <cell r="AM56">
            <v>0</v>
          </cell>
          <cell r="AN56">
            <v>0</v>
          </cell>
          <cell r="AO56">
            <v>3.24</v>
          </cell>
          <cell r="AP56">
            <v>3.24</v>
          </cell>
          <cell r="AQ56">
            <v>0</v>
          </cell>
          <cell r="AR56">
            <v>0</v>
          </cell>
          <cell r="AS56">
            <v>0</v>
          </cell>
          <cell r="AT56">
            <v>5.2</v>
          </cell>
          <cell r="AU56">
            <v>5.2</v>
          </cell>
          <cell r="AY56">
            <v>0.9</v>
          </cell>
          <cell r="AZ56">
            <v>0.9</v>
          </cell>
          <cell r="BD56">
            <v>17762.97872336</v>
          </cell>
          <cell r="BE56">
            <v>17762.97872336</v>
          </cell>
          <cell r="BF56">
            <v>0</v>
          </cell>
          <cell r="BG56">
            <v>0</v>
          </cell>
          <cell r="BH56">
            <v>0</v>
          </cell>
          <cell r="BI56">
            <v>3074.3617021200002</v>
          </cell>
          <cell r="BJ56">
            <v>3074.3617021200002</v>
          </cell>
          <cell r="BK56">
            <v>0</v>
          </cell>
          <cell r="BL56">
            <v>0</v>
          </cell>
          <cell r="BM56">
            <v>0</v>
          </cell>
          <cell r="BN56">
            <v>4.8859200000000005</v>
          </cell>
          <cell r="BO56">
            <v>4.8859200000000005</v>
          </cell>
          <cell r="BP56">
            <v>0</v>
          </cell>
          <cell r="BQ56">
            <v>0</v>
          </cell>
          <cell r="BR56">
            <v>0</v>
          </cell>
          <cell r="BS56">
            <v>0.84564000000000006</v>
          </cell>
          <cell r="BT56">
            <v>0.84564000000000006</v>
          </cell>
          <cell r="BU56">
            <v>0</v>
          </cell>
          <cell r="BV56">
            <v>0</v>
          </cell>
          <cell r="BW56">
            <v>0</v>
          </cell>
          <cell r="BX56" t="str">
            <v>不可以</v>
          </cell>
          <cell r="BY56" t="str">
            <v>不可以</v>
          </cell>
          <cell r="CC56" t="str">
            <v>進氣保護蓋可拆式設計</v>
          </cell>
          <cell r="CD56" t="str">
            <v>不適用</v>
          </cell>
          <cell r="CE56" t="str">
            <v>一枚C型1.5V</v>
          </cell>
          <cell r="CF56" t="str">
            <v>爐底右前方</v>
          </cell>
          <cell r="CG56" t="str">
            <v>黑色陶瓷玻璃</v>
          </cell>
          <cell r="CH56" t="str">
            <v>旋鈕式</v>
          </cell>
          <cell r="CI56" t="str">
            <v>旋鈕式</v>
          </cell>
          <cell r="CJ56" t="str">
            <v>單環 x 2</v>
          </cell>
          <cell r="CK56" t="str">
            <v>不適用</v>
          </cell>
          <cell r="CL56" t="str">
            <v>不適用</v>
          </cell>
          <cell r="CM56" t="str">
            <v>不適用</v>
          </cell>
          <cell r="CN56" t="str">
            <v>不適用</v>
          </cell>
          <cell r="CO56" t="str">
            <v>不適用</v>
          </cell>
          <cell r="CP56" t="str">
            <v>不適用</v>
          </cell>
          <cell r="CQ56" t="str">
            <v>不適用</v>
          </cell>
          <cell r="CR56" t="str">
            <v>圓形五邊承托架</v>
          </cell>
          <cell r="CS56" t="str">
            <v>請按此處</v>
          </cell>
          <cell r="CT56" t="str">
            <v>請按此處</v>
          </cell>
          <cell r="CU56" t="str">
            <v>請按此處</v>
          </cell>
          <cell r="CV56">
            <v>14.5</v>
          </cell>
          <cell r="CW56">
            <v>31.900000000000002</v>
          </cell>
          <cell r="CX56"/>
        </row>
        <row r="57">
          <cell r="A57" t="str">
            <v>TNJB72-C</v>
          </cell>
          <cell r="B57" t="str">
            <v>停售</v>
          </cell>
          <cell r="E57" t="str">
            <v>TGC</v>
          </cell>
          <cell r="F57" t="str">
            <v>TNJB72-C 舊版 (超勁火)</v>
          </cell>
          <cell r="G57" t="str">
            <v>TNJB72-C (舊版) (超勁火)</v>
          </cell>
          <cell r="I57" t="str">
            <v>操作資料</v>
          </cell>
          <cell r="J57" t="str">
            <v>講義</v>
          </cell>
          <cell r="K57" t="str">
            <v>2006年7月1日</v>
          </cell>
          <cell r="L57" t="str">
            <v>2010年1月8日</v>
          </cell>
          <cell r="M57" t="str">
            <v>日本</v>
          </cell>
          <cell r="N57" t="str">
            <v>已停售</v>
          </cell>
          <cell r="O57" t="str">
            <v>請按此處</v>
          </cell>
          <cell r="P57">
            <v>65</v>
          </cell>
          <cell r="Q57">
            <v>2.5590551181102366</v>
          </cell>
          <cell r="R57">
            <v>78</v>
          </cell>
          <cell r="S57">
            <v>3.0708661417322838</v>
          </cell>
          <cell r="T57">
            <v>123</v>
          </cell>
          <cell r="U57">
            <v>4.8425196850393704</v>
          </cell>
          <cell r="V57">
            <v>738</v>
          </cell>
          <cell r="W57">
            <v>29.055118110236222</v>
          </cell>
          <cell r="X57">
            <v>440</v>
          </cell>
          <cell r="Y57">
            <v>17.322834645669293</v>
          </cell>
          <cell r="Z57">
            <v>450</v>
          </cell>
          <cell r="AA57">
            <v>17.716535433070867</v>
          </cell>
          <cell r="AC57" t="str">
            <v>703 x 403 (27.7" x 15.9")</v>
          </cell>
          <cell r="AD57">
            <v>2</v>
          </cell>
          <cell r="AE57" t="str">
            <v>左</v>
          </cell>
          <cell r="AF57" t="str">
            <v>右</v>
          </cell>
          <cell r="AG57" t="str">
            <v>左右全開</v>
          </cell>
          <cell r="AJ57">
            <v>20.88</v>
          </cell>
          <cell r="AK57">
            <v>20.88</v>
          </cell>
          <cell r="AL57">
            <v>36</v>
          </cell>
          <cell r="AM57">
            <v>0</v>
          </cell>
          <cell r="AN57">
            <v>0</v>
          </cell>
          <cell r="AO57">
            <v>1.08</v>
          </cell>
          <cell r="AP57">
            <v>1.08</v>
          </cell>
          <cell r="AQ57">
            <v>0</v>
          </cell>
          <cell r="AR57">
            <v>0</v>
          </cell>
          <cell r="AS57">
            <v>0</v>
          </cell>
          <cell r="AT57">
            <v>5.8</v>
          </cell>
          <cell r="AU57">
            <v>5.8</v>
          </cell>
          <cell r="AV57">
            <v>10</v>
          </cell>
          <cell r="AY57">
            <v>0.3</v>
          </cell>
          <cell r="AZ57">
            <v>0.3</v>
          </cell>
          <cell r="BD57">
            <v>19812.553191439998</v>
          </cell>
          <cell r="BE57">
            <v>19812.553191439998</v>
          </cell>
          <cell r="BF57">
            <v>34159.574467999999</v>
          </cell>
          <cell r="BG57">
            <v>0</v>
          </cell>
          <cell r="BH57">
            <v>0</v>
          </cell>
          <cell r="BI57">
            <v>1024.7872340399999</v>
          </cell>
          <cell r="BJ57">
            <v>1024.7872340399999</v>
          </cell>
          <cell r="BK57">
            <v>0</v>
          </cell>
          <cell r="BL57">
            <v>0</v>
          </cell>
          <cell r="BM57">
            <v>0</v>
          </cell>
          <cell r="BN57">
            <v>5.4496799999999999</v>
          </cell>
          <cell r="BO57">
            <v>5.4496799999999999</v>
          </cell>
          <cell r="BP57">
            <v>9.3960000000000008</v>
          </cell>
          <cell r="BQ57">
            <v>0</v>
          </cell>
          <cell r="BR57">
            <v>0</v>
          </cell>
          <cell r="BS57">
            <v>0.28188000000000002</v>
          </cell>
          <cell r="BT57">
            <v>0.28188000000000002</v>
          </cell>
          <cell r="BU57">
            <v>0</v>
          </cell>
          <cell r="BV57">
            <v>0</v>
          </cell>
          <cell r="BW57">
            <v>0</v>
          </cell>
          <cell r="BX57" t="str">
            <v>可以</v>
          </cell>
          <cell r="BY57" t="str">
            <v>可以</v>
          </cell>
          <cell r="CC57" t="str">
            <v>(1) 爐頭不可拆除清潔。
(2) 爐頭採用密封式設計，異物不會輕易溢進爐頭內。
(3) 陶瓷玻璃面，清潔易、堅硬、耐用、傳熱慢。
(4) 爐架結構簡單、方便清理 。
(5) 四段火力調控，適合不同烹調方式 。</v>
          </cell>
          <cell r="CD57" t="str">
            <v>不適用</v>
          </cell>
          <cell r="CE57" t="str">
            <v>一枚C型1.5V</v>
          </cell>
          <cell r="CF57" t="str">
            <v>爐底左前方</v>
          </cell>
          <cell r="CG57" t="str">
            <v>黑色陶瓷玻璃</v>
          </cell>
          <cell r="CH57" t="str">
            <v>旋鈕式</v>
          </cell>
          <cell r="CI57" t="str">
            <v>旋鈕式</v>
          </cell>
          <cell r="CJ57" t="str">
            <v>雙環 x 2</v>
          </cell>
          <cell r="CK57" t="str">
            <v>不適用</v>
          </cell>
          <cell r="CL57" t="str">
            <v>不適用</v>
          </cell>
          <cell r="CM57" t="str">
            <v>不適用</v>
          </cell>
          <cell r="CN57" t="str">
            <v>不適用</v>
          </cell>
          <cell r="CO57" t="str">
            <v>不適用</v>
          </cell>
          <cell r="CP57" t="str">
            <v>不適用</v>
          </cell>
          <cell r="CQ57" t="str">
            <v>不適用</v>
          </cell>
          <cell r="CR57" t="str">
            <v>圓形五邊承托架</v>
          </cell>
          <cell r="CS57" t="str">
            <v>請按此處</v>
          </cell>
          <cell r="CT57" t="str">
            <v>請按此處</v>
          </cell>
          <cell r="CU57" t="str">
            <v>請按此處</v>
          </cell>
          <cell r="CV57">
            <v>15</v>
          </cell>
          <cell r="CW57">
            <v>33</v>
          </cell>
          <cell r="CX57" t="str">
            <v>爐架直徑：架底是6吋、架頂是8.5吋。</v>
          </cell>
          <cell r="CY57" t="str">
            <v>安裝資料：
此爐具的安裝位置應與周圍易燃物料距離 15 厘米以上。 
若在嵌入式平面爐下安裝其他器具 ( 如洗碗碟機 , 洗衣機等 ), 請保留最少 10 毫米的距離。若其他器具的安裝指引要求不同的問距 , 應採用較大者。 
煮食爐下方如設有嵌入式焗爐 , 必須加裝隔層板並將所有縫隙密封 , 避免焗爐的風機氣流影響煮食爐運作。</v>
          </cell>
        </row>
        <row r="58">
          <cell r="A58" t="str">
            <v>TNJB72-C-new</v>
          </cell>
          <cell r="B58" t="str">
            <v>停售</v>
          </cell>
          <cell r="E58" t="str">
            <v>TGC</v>
          </cell>
          <cell r="F58" t="str">
            <v>TNJB72-C (新版) (超勁火)</v>
          </cell>
          <cell r="I58" t="str">
            <v>操作資料</v>
          </cell>
          <cell r="J58" t="str">
            <v>說明書</v>
          </cell>
          <cell r="K58" t="str">
            <v>2010年1月8日</v>
          </cell>
          <cell r="L58" t="str">
            <v>2012年1月9日</v>
          </cell>
          <cell r="M58" t="str">
            <v>日本</v>
          </cell>
          <cell r="N58" t="str">
            <v>已停售</v>
          </cell>
          <cell r="O58" t="str">
            <v>請按此處</v>
          </cell>
          <cell r="P58">
            <v>65</v>
          </cell>
          <cell r="Q58">
            <v>2.5590551181102366</v>
          </cell>
          <cell r="R58">
            <v>78</v>
          </cell>
          <cell r="S58">
            <v>3.0708661417322838</v>
          </cell>
          <cell r="T58">
            <v>123</v>
          </cell>
          <cell r="U58">
            <v>4.8425196850393704</v>
          </cell>
          <cell r="V58">
            <v>738</v>
          </cell>
          <cell r="W58">
            <v>29.055118110236222</v>
          </cell>
          <cell r="X58">
            <v>439</v>
          </cell>
          <cell r="Y58">
            <v>17.283464566929133</v>
          </cell>
          <cell r="Z58">
            <v>450</v>
          </cell>
          <cell r="AA58">
            <v>17.716535433070867</v>
          </cell>
          <cell r="AC58" t="str">
            <v>703 x 403 (27.7" x 15.9")</v>
          </cell>
          <cell r="AD58">
            <v>2</v>
          </cell>
          <cell r="AE58" t="str">
            <v>左</v>
          </cell>
          <cell r="AF58" t="str">
            <v>右</v>
          </cell>
          <cell r="AG58" t="str">
            <v>左右全開</v>
          </cell>
          <cell r="AJ58">
            <v>20.88</v>
          </cell>
          <cell r="AK58">
            <v>20.88</v>
          </cell>
          <cell r="AL58">
            <v>36</v>
          </cell>
          <cell r="AM58">
            <v>0</v>
          </cell>
          <cell r="AN58">
            <v>0</v>
          </cell>
          <cell r="AO58">
            <v>1.08</v>
          </cell>
          <cell r="AP58">
            <v>1.08</v>
          </cell>
          <cell r="AQ58">
            <v>0</v>
          </cell>
          <cell r="AR58">
            <v>0</v>
          </cell>
          <cell r="AS58">
            <v>0</v>
          </cell>
          <cell r="AT58">
            <v>5.8</v>
          </cell>
          <cell r="AU58">
            <v>5.8</v>
          </cell>
          <cell r="AV58">
            <v>10</v>
          </cell>
          <cell r="AY58">
            <v>0.3</v>
          </cell>
          <cell r="AZ58">
            <v>0.3</v>
          </cell>
          <cell r="BD58">
            <v>19812.553191439998</v>
          </cell>
          <cell r="BE58">
            <v>19812.553191439998</v>
          </cell>
          <cell r="BF58">
            <v>34159.574467999999</v>
          </cell>
          <cell r="BG58">
            <v>0</v>
          </cell>
          <cell r="BH58">
            <v>0</v>
          </cell>
          <cell r="BI58">
            <v>1024.7872340399999</v>
          </cell>
          <cell r="BJ58">
            <v>1024.7872340399999</v>
          </cell>
          <cell r="BK58">
            <v>0</v>
          </cell>
          <cell r="BL58">
            <v>0</v>
          </cell>
          <cell r="BM58">
            <v>0</v>
          </cell>
          <cell r="BN58">
            <v>5.4496799999999999</v>
          </cell>
          <cell r="BO58">
            <v>5.4496799999999999</v>
          </cell>
          <cell r="BP58">
            <v>9.3960000000000008</v>
          </cell>
          <cell r="BQ58">
            <v>0</v>
          </cell>
          <cell r="BR58">
            <v>0</v>
          </cell>
          <cell r="BS58">
            <v>0.28188000000000002</v>
          </cell>
          <cell r="BT58">
            <v>0.28188000000000002</v>
          </cell>
          <cell r="BU58">
            <v>0</v>
          </cell>
          <cell r="BV58">
            <v>0</v>
          </cell>
          <cell r="BW58">
            <v>0</v>
          </cell>
          <cell r="BX58" t="str">
            <v>可以</v>
          </cell>
          <cell r="BY58" t="str">
            <v>可以</v>
          </cell>
          <cell r="CC58" t="str">
            <v>(1) 爐頭不可拆除清潔。
(2) 爐頭採用密封式設計，異物不會輕易溢進爐頭內。
(3) 陶瓷玻璃面，清潔易、堅硬、耐用、傳熱慢。
(4) 爐架結構簡單、方便清理 。
(5) 四段火力調控，適合不同烹調方式 。</v>
          </cell>
          <cell r="CD58" t="str">
            <v>不適用</v>
          </cell>
          <cell r="CE58" t="str">
            <v>一枚C型1.5V</v>
          </cell>
          <cell r="CF58" t="str">
            <v>爐底左前方</v>
          </cell>
          <cell r="CG58" t="str">
            <v>點紋陶瓷玻璃 + 黑色鋁合金框架
點紋陶瓷玻璃 + 銀色鋁合金框架</v>
          </cell>
          <cell r="CH58" t="str">
            <v>旋鈕式</v>
          </cell>
          <cell r="CI58" t="str">
            <v>旋鈕式</v>
          </cell>
          <cell r="CJ58" t="str">
            <v>雙環 x 2</v>
          </cell>
          <cell r="CK58" t="str">
            <v>不適用</v>
          </cell>
          <cell r="CL58" t="str">
            <v>不適用</v>
          </cell>
          <cell r="CM58" t="str">
            <v>不適用</v>
          </cell>
          <cell r="CN58" t="str">
            <v>不適用</v>
          </cell>
          <cell r="CO58" t="str">
            <v>不適用</v>
          </cell>
          <cell r="CP58" t="str">
            <v>不適用</v>
          </cell>
          <cell r="CQ58" t="str">
            <v>不適用</v>
          </cell>
          <cell r="CR58" t="str">
            <v>圓形五邊承托架</v>
          </cell>
          <cell r="CS58" t="str">
            <v>不適用</v>
          </cell>
          <cell r="CT58" t="str">
            <v>不適用</v>
          </cell>
          <cell r="CU58" t="str">
            <v>不適用</v>
          </cell>
          <cell r="CV58">
            <v>15</v>
          </cell>
          <cell r="CW58">
            <v>33</v>
          </cell>
          <cell r="CX58" t="str">
            <v>1. 爐架直徑：架底是6吋、架頂是8.5吋。
2. 低身爐架</v>
          </cell>
          <cell r="CY58" t="str">
            <v>安裝資料：
此爐具的安裝位置應與周圍易燃物料距離 15 厘米以上。 
若在嵌入式平面爐下安裝其他器具 ( 如洗碗碟機 , 洗衣機等 ), 請保留最少 10 毫米的距離。若其他器具的安裝指引要求不同的問距 , 應採用較大者。 
煮食爐下方如設有嵌入式焗爐 , 必須加裝隔層板並將所有縫隙密封 , 避免焗爐的風機氣流影響煮食爐運作。</v>
          </cell>
          <cell r="CZ58" t="str">
            <v>氣喉接駁位置：爐底後方右角</v>
          </cell>
        </row>
        <row r="59">
          <cell r="A59" t="str">
            <v>RJB72N-C</v>
          </cell>
          <cell r="B59" t="str">
            <v>停售</v>
          </cell>
          <cell r="E59" t="str">
            <v>TGC</v>
          </cell>
          <cell r="F59" t="str">
            <v>RJB72N-C (內炎火)</v>
          </cell>
          <cell r="I59" t="str">
            <v>操作資料</v>
          </cell>
          <cell r="J59" t="str">
            <v>講義</v>
          </cell>
          <cell r="K59" t="str">
            <v>2003年3月24日</v>
          </cell>
          <cell r="L59" t="str">
            <v>2011年1月20日</v>
          </cell>
          <cell r="M59" t="str">
            <v>日本</v>
          </cell>
          <cell r="N59" t="str">
            <v>已停售</v>
          </cell>
          <cell r="O59" t="str">
            <v>請按此處</v>
          </cell>
          <cell r="P59">
            <v>59</v>
          </cell>
          <cell r="Q59">
            <v>2.3228346456692917</v>
          </cell>
          <cell r="R59">
            <v>71</v>
          </cell>
          <cell r="S59">
            <v>2.7952755905511815</v>
          </cell>
          <cell r="T59">
            <v>100</v>
          </cell>
          <cell r="U59">
            <v>3.9370078740157481</v>
          </cell>
          <cell r="V59">
            <v>737</v>
          </cell>
          <cell r="W59">
            <v>29.015748031496063</v>
          </cell>
          <cell r="X59">
            <v>438</v>
          </cell>
          <cell r="Y59">
            <v>17.244094488188978</v>
          </cell>
          <cell r="Z59">
            <v>470</v>
          </cell>
          <cell r="AA59">
            <v>18.503937007874018</v>
          </cell>
          <cell r="AC59" t="str">
            <v>703 x 403 (27.7" x 15.9")</v>
          </cell>
          <cell r="AD59">
            <v>2</v>
          </cell>
          <cell r="AE59" t="str">
            <v>左</v>
          </cell>
          <cell r="AF59" t="str">
            <v>右</v>
          </cell>
          <cell r="AJ59">
            <v>15.120000000000001</v>
          </cell>
          <cell r="AK59">
            <v>15.120000000000001</v>
          </cell>
          <cell r="AL59">
            <v>0</v>
          </cell>
          <cell r="AM59">
            <v>0</v>
          </cell>
          <cell r="AN59">
            <v>0</v>
          </cell>
          <cell r="AO59">
            <v>1.8</v>
          </cell>
          <cell r="AP59">
            <v>1.8</v>
          </cell>
          <cell r="AQ59">
            <v>0</v>
          </cell>
          <cell r="AR59">
            <v>0</v>
          </cell>
          <cell r="AS59">
            <v>0</v>
          </cell>
          <cell r="AT59">
            <v>4.2</v>
          </cell>
          <cell r="AU59">
            <v>4.2</v>
          </cell>
          <cell r="AY59">
            <v>0.5</v>
          </cell>
          <cell r="AZ59">
            <v>0.5</v>
          </cell>
          <cell r="BD59">
            <v>14347.021276560001</v>
          </cell>
          <cell r="BE59">
            <v>14347.021276560001</v>
          </cell>
          <cell r="BF59">
            <v>0</v>
          </cell>
          <cell r="BG59">
            <v>0</v>
          </cell>
          <cell r="BH59">
            <v>0</v>
          </cell>
          <cell r="BI59">
            <v>1707.9787234</v>
          </cell>
          <cell r="BJ59">
            <v>1707.9787234</v>
          </cell>
          <cell r="BK59">
            <v>0</v>
          </cell>
          <cell r="BL59">
            <v>0</v>
          </cell>
          <cell r="BM59">
            <v>0</v>
          </cell>
          <cell r="BN59">
            <v>3.9463200000000005</v>
          </cell>
          <cell r="BO59">
            <v>3.9463200000000005</v>
          </cell>
          <cell r="BP59">
            <v>0</v>
          </cell>
          <cell r="BQ59">
            <v>0</v>
          </cell>
          <cell r="BR59">
            <v>0</v>
          </cell>
          <cell r="BS59">
            <v>0.46980000000000005</v>
          </cell>
          <cell r="BT59">
            <v>0.46980000000000005</v>
          </cell>
          <cell r="BU59">
            <v>0</v>
          </cell>
          <cell r="BV59">
            <v>0</v>
          </cell>
          <cell r="BW59">
            <v>0</v>
          </cell>
          <cell r="BX59" t="str">
            <v>不可以</v>
          </cell>
          <cell r="BY59" t="str">
            <v>不可以</v>
          </cell>
          <cell r="CC59" t="str">
            <v>(1) 爐面板採用德國製造的 CERAN陶瓷玻璃，特點為硬度高，傳熱度底及膨脹率小，令煮食時玻璃面溫度較底，使到玻璃爆裂的機會相對降低。 
(2) 『內炎』爐頭內藏於爐面下，並在燃時產生錐形火燄，熱效率比一般爐頭高20%。
(3) 爐架用不銹鋼物料鑄造，並外塗黑色陶瓷物料，不會生銹並堅固耐用。
(4) 低爐架設計，擺放煮食器皿，特別安全穩定。
(5) 爐底設有隔熱檔板，防止意外燙傷，亦可按需要拆除以減少爐身高凌度(拆除隔熱檔板後的高度為54毫米。
(6) 爐面板採用德國製造的 CERAN陶瓷玻璃，特點為硬度高，傳熱度底及膨脹率小，令煮食時玻璃面溫度較底，使到玻璃爆裂的機會相對降低。</v>
          </cell>
          <cell r="CD59" t="str">
            <v>不適用</v>
          </cell>
          <cell r="CE59" t="str">
            <v>一枚D型1.5V</v>
          </cell>
          <cell r="CF59" t="str">
            <v>爐底中前方</v>
          </cell>
          <cell r="CG59" t="str">
            <v>黑色陶瓷玻璃﹝舊版﹞
黑色陶瓷玻璃 + 黑色鋁合金框架 ﹝新版﹞
黑色陶瓷玻璃 + 銀色鋁合金框架 ﹝新版﹞07年1月18日推出</v>
          </cell>
          <cell r="CH59" t="str">
            <v>旋鈕式</v>
          </cell>
          <cell r="CI59" t="str">
            <v>旋鈕式</v>
          </cell>
          <cell r="CJ59" t="str">
            <v>內炎爐頭</v>
          </cell>
          <cell r="CK59" t="str">
            <v>不適用</v>
          </cell>
          <cell r="CL59" t="str">
            <v>不適用</v>
          </cell>
          <cell r="CM59" t="str">
            <v>不適用</v>
          </cell>
          <cell r="CN59" t="str">
            <v>不適用</v>
          </cell>
          <cell r="CO59" t="str">
            <v>不適用</v>
          </cell>
          <cell r="CP59" t="str">
            <v>不適用</v>
          </cell>
          <cell r="CQ59" t="str">
            <v>不適用</v>
          </cell>
          <cell r="CR59" t="str">
            <v>圓形五邊承托架</v>
          </cell>
          <cell r="CS59" t="str">
            <v>請按此處</v>
          </cell>
          <cell r="CT59" t="str">
            <v>請按此處</v>
          </cell>
          <cell r="CU59" t="str">
            <v>請按此處</v>
          </cell>
          <cell r="CV59">
            <v>11</v>
          </cell>
          <cell r="CW59">
            <v>24.200000000000003</v>
          </cell>
          <cell r="CX59"/>
          <cell r="CY59" t="str">
            <v>氣喉接駁位置：爐底後方右角</v>
          </cell>
          <cell r="CZ59" t="str">
            <v>速遞 - 安裝內炎火嵌入式平面爐指引</v>
          </cell>
        </row>
        <row r="60">
          <cell r="A60" t="str">
            <v>RJB72NS-C</v>
          </cell>
          <cell r="B60" t="str">
            <v>停售</v>
          </cell>
          <cell r="E60" t="str">
            <v>TGC</v>
          </cell>
          <cell r="F60" t="str">
            <v>RJB72NS-C (輕觸式內炎火)</v>
          </cell>
          <cell r="H60" t="str">
            <v>RJB72NS-C (輕觸式內炎火)</v>
          </cell>
          <cell r="I60" t="str">
            <v>操作資料</v>
          </cell>
          <cell r="J60" t="str">
            <v>故障訊號</v>
          </cell>
          <cell r="K60" t="str">
            <v>2004年12月1日</v>
          </cell>
          <cell r="L60" t="str">
            <v>2013年8月26日</v>
          </cell>
          <cell r="M60" t="str">
            <v>日本</v>
          </cell>
          <cell r="N60" t="str">
            <v>已停售</v>
          </cell>
          <cell r="O60" t="str">
            <v>請按此處</v>
          </cell>
          <cell r="P60">
            <v>72</v>
          </cell>
          <cell r="Q60">
            <v>2.8346456692913389</v>
          </cell>
          <cell r="R60">
            <v>84</v>
          </cell>
          <cell r="S60">
            <v>3.3070866141732287</v>
          </cell>
          <cell r="T60">
            <v>109</v>
          </cell>
          <cell r="U60">
            <v>4.2913385826771657</v>
          </cell>
          <cell r="V60">
            <v>737</v>
          </cell>
          <cell r="W60">
            <v>29.015748031496063</v>
          </cell>
          <cell r="X60">
            <v>438</v>
          </cell>
          <cell r="Y60">
            <v>17.244094488188978</v>
          </cell>
          <cell r="Z60">
            <v>470</v>
          </cell>
          <cell r="AA60">
            <v>18.503937007874018</v>
          </cell>
          <cell r="AC60" t="str">
            <v>703 x 403 (27.7" x 15.9")</v>
          </cell>
          <cell r="AD60">
            <v>2</v>
          </cell>
          <cell r="AE60" t="str">
            <v>左</v>
          </cell>
          <cell r="AF60" t="str">
            <v>右</v>
          </cell>
          <cell r="AJ60">
            <v>15.120000000000001</v>
          </cell>
          <cell r="AK60">
            <v>15.120000000000001</v>
          </cell>
          <cell r="AL60">
            <v>0</v>
          </cell>
          <cell r="AM60">
            <v>0</v>
          </cell>
          <cell r="AN60">
            <v>0</v>
          </cell>
          <cell r="AO60">
            <v>1.8</v>
          </cell>
          <cell r="AP60">
            <v>1.8</v>
          </cell>
          <cell r="AQ60">
            <v>0</v>
          </cell>
          <cell r="AR60">
            <v>0</v>
          </cell>
          <cell r="AS60">
            <v>0</v>
          </cell>
          <cell r="AT60">
            <v>4.2</v>
          </cell>
          <cell r="AU60">
            <v>4.2</v>
          </cell>
          <cell r="AY60">
            <v>0.5</v>
          </cell>
          <cell r="AZ60">
            <v>0.5</v>
          </cell>
          <cell r="BD60">
            <v>14347.021276560001</v>
          </cell>
          <cell r="BE60">
            <v>14347.021276560001</v>
          </cell>
          <cell r="BF60">
            <v>0</v>
          </cell>
          <cell r="BG60">
            <v>0</v>
          </cell>
          <cell r="BH60">
            <v>0</v>
          </cell>
          <cell r="BI60">
            <v>1707.9787234</v>
          </cell>
          <cell r="BJ60">
            <v>1707.9787234</v>
          </cell>
          <cell r="BK60">
            <v>0</v>
          </cell>
          <cell r="BL60">
            <v>0</v>
          </cell>
          <cell r="BM60">
            <v>0</v>
          </cell>
          <cell r="BN60">
            <v>3.9463200000000005</v>
          </cell>
          <cell r="BO60">
            <v>3.9463200000000005</v>
          </cell>
          <cell r="BP60">
            <v>0</v>
          </cell>
          <cell r="BQ60">
            <v>0</v>
          </cell>
          <cell r="BR60">
            <v>0</v>
          </cell>
          <cell r="BS60">
            <v>0.46980000000000005</v>
          </cell>
          <cell r="BT60">
            <v>0.46980000000000005</v>
          </cell>
          <cell r="BU60">
            <v>0</v>
          </cell>
          <cell r="BV60">
            <v>0</v>
          </cell>
          <cell r="BW60">
            <v>0</v>
          </cell>
          <cell r="BX60" t="str">
            <v>不可以</v>
          </cell>
          <cell r="BY60" t="str">
            <v>不可以</v>
          </cell>
          <cell r="CC60" t="str">
            <v>(1) 輕觸式設計，電子調控五段火力。
(2) 接收任何指令後，會有相對應的顯示燈亮起及發出『咇』的響聲。</v>
          </cell>
          <cell r="CD60" t="str">
            <v>220V,13A</v>
          </cell>
          <cell r="CE60" t="str">
            <v>不適用</v>
          </cell>
          <cell r="CF60" t="str">
            <v>不適用</v>
          </cell>
          <cell r="CG60" t="str">
            <v>黑色陶瓷玻璃﹝舊版﹞
黑色陶瓷玻璃 + 黑色鋁合金框架 ﹝新版﹞07年1月18日推出
黑色陶瓷玻璃 + 銀色鋁合金框架 ﹝新版﹞07年1月18日推出</v>
          </cell>
          <cell r="CH60" t="str">
            <v>輕觸式</v>
          </cell>
          <cell r="CI60" t="str">
            <v>輕觸式</v>
          </cell>
          <cell r="CJ60" t="str">
            <v>內炎爐頭</v>
          </cell>
          <cell r="CK60" t="str">
            <v>不適用</v>
          </cell>
          <cell r="CL60" t="str">
            <v>不適用</v>
          </cell>
          <cell r="CM60" t="str">
            <v>不適用</v>
          </cell>
          <cell r="CN60" t="str">
            <v>不適用</v>
          </cell>
          <cell r="CO60" t="str">
            <v>不適用</v>
          </cell>
          <cell r="CP60" t="str">
            <v>不適用</v>
          </cell>
          <cell r="CQ60" t="str">
            <v>不適用</v>
          </cell>
          <cell r="CR60" t="str">
            <v>圓形五邊承托架</v>
          </cell>
          <cell r="CS60" t="str">
            <v>請按此處</v>
          </cell>
          <cell r="CT60" t="str">
            <v>請按此處</v>
          </cell>
          <cell r="CU60" t="str">
            <v>請按此處</v>
          </cell>
          <cell r="CV60">
            <v>12.5</v>
          </cell>
          <cell r="CW60">
            <v>27.500000000000004</v>
          </cell>
          <cell r="CX60" t="str">
            <v>特別安全裝置：
輕觸式內炎火煮食爐，當停止電力供應時，也同時停止燃燒煤氣，固此，關上電源，該款煮食爐爐火便自動熄滅。</v>
          </cell>
          <cell r="CY60" t="str">
            <v>氣喉接駁位置：爐底後方右角</v>
          </cell>
        </row>
        <row r="61">
          <cell r="A61" t="str">
            <v>TRJB72M</v>
          </cell>
          <cell r="B61" t="str">
            <v>停售</v>
          </cell>
          <cell r="E61" t="str">
            <v>TGC</v>
          </cell>
          <cell r="F61" t="str">
            <v>TRJB72M-C-B (極炎火)</v>
          </cell>
          <cell r="K61" t="str">
            <v>2008年10月30日</v>
          </cell>
          <cell r="L61" t="str">
            <v>2010年12月7日</v>
          </cell>
          <cell r="M61" t="str">
            <v>日本</v>
          </cell>
          <cell r="N61" t="str">
            <v>已停售</v>
          </cell>
          <cell r="O61" t="str">
            <v>請按此處</v>
          </cell>
          <cell r="P61">
            <v>54</v>
          </cell>
          <cell r="Q61">
            <v>2.1259842519685042</v>
          </cell>
          <cell r="R61">
            <v>66</v>
          </cell>
          <cell r="S61">
            <v>2.598425196850394</v>
          </cell>
          <cell r="T61">
            <v>130</v>
          </cell>
          <cell r="U61">
            <v>5.1181102362204731</v>
          </cell>
          <cell r="V61">
            <v>737</v>
          </cell>
          <cell r="W61">
            <v>29.015748031496063</v>
          </cell>
          <cell r="X61">
            <v>438</v>
          </cell>
          <cell r="Y61">
            <v>17.244094488188978</v>
          </cell>
          <cell r="Z61">
            <v>472</v>
          </cell>
          <cell r="AA61">
            <v>18.582677165354333</v>
          </cell>
          <cell r="AC61" t="str">
            <v>703 x 403 (27.7" x 15.9")</v>
          </cell>
          <cell r="AD61">
            <v>2</v>
          </cell>
          <cell r="AE61" t="str">
            <v>左</v>
          </cell>
          <cell r="AF61" t="str">
            <v>右</v>
          </cell>
          <cell r="AJ61">
            <v>20.88</v>
          </cell>
          <cell r="AK61">
            <v>20.88</v>
          </cell>
          <cell r="AL61">
            <v>0</v>
          </cell>
          <cell r="AM61">
            <v>0</v>
          </cell>
          <cell r="AN61">
            <v>0</v>
          </cell>
          <cell r="AO61">
            <v>1.08</v>
          </cell>
          <cell r="AP61">
            <v>1.08</v>
          </cell>
          <cell r="AQ61">
            <v>0</v>
          </cell>
          <cell r="AR61">
            <v>0</v>
          </cell>
          <cell r="AS61">
            <v>0</v>
          </cell>
          <cell r="AT61">
            <v>5.8</v>
          </cell>
          <cell r="AU61">
            <v>5.8</v>
          </cell>
          <cell r="AY61">
            <v>0.3</v>
          </cell>
          <cell r="AZ61">
            <v>0.3</v>
          </cell>
          <cell r="BD61">
            <v>19812.553191439998</v>
          </cell>
          <cell r="BE61">
            <v>19812.553191439998</v>
          </cell>
          <cell r="BF61">
            <v>0</v>
          </cell>
          <cell r="BG61">
            <v>0</v>
          </cell>
          <cell r="BH61">
            <v>0</v>
          </cell>
          <cell r="BI61">
            <v>1024.7872340399999</v>
          </cell>
          <cell r="BJ61">
            <v>1024.7872340399999</v>
          </cell>
          <cell r="BK61">
            <v>0</v>
          </cell>
          <cell r="BL61">
            <v>0</v>
          </cell>
          <cell r="BM61">
            <v>0</v>
          </cell>
          <cell r="BN61">
            <v>5.4496799999999999</v>
          </cell>
          <cell r="BO61">
            <v>5.4496799999999999</v>
          </cell>
          <cell r="BP61">
            <v>0</v>
          </cell>
          <cell r="BQ61">
            <v>0</v>
          </cell>
          <cell r="BR61">
            <v>0</v>
          </cell>
          <cell r="BS61">
            <v>0.28188000000000002</v>
          </cell>
          <cell r="BT61">
            <v>0.28188000000000002</v>
          </cell>
          <cell r="BU61">
            <v>0</v>
          </cell>
          <cell r="BV61">
            <v>0</v>
          </cell>
          <cell r="BW61">
            <v>0</v>
          </cell>
          <cell r="BX61" t="str">
            <v>可以</v>
          </cell>
          <cell r="BY61" t="str">
            <v>可以</v>
          </cell>
          <cell r="CC61" t="str">
            <v>(1) 堅固鑄鐵爐架，底部設有定位針，避免轉動刮花玻璃面，穩定耐用。
(2) 進氣保護蓋為可拆式設計。
(3) 密封式設計極炎火爐頭，溢出物不會直接進入爐具內。
(4) 德國名牌Schott優質陶瓷玻璃；傳熱度特低；易清潔。</v>
          </cell>
          <cell r="CD61" t="str">
            <v>不適用</v>
          </cell>
          <cell r="CE61" t="str">
            <v>一枚C型1.5V</v>
          </cell>
          <cell r="CF61" t="str">
            <v>爐底後方右角</v>
          </cell>
          <cell r="CG61" t="str">
            <v>黑色陶瓷玻璃配黑色鋁合金框架
黑色陶瓷玻璃配銀色鋁合金框架</v>
          </cell>
          <cell r="CH61" t="str">
            <v>旋鈕式</v>
          </cell>
          <cell r="CI61" t="str">
            <v>旋鈕式</v>
          </cell>
          <cell r="CJ61" t="str">
            <v>雙環 x 2</v>
          </cell>
          <cell r="CK61" t="str">
            <v>不適用</v>
          </cell>
          <cell r="CL61" t="str">
            <v>不適用</v>
          </cell>
          <cell r="CM61" t="str">
            <v>不適用</v>
          </cell>
          <cell r="CN61" t="str">
            <v>不適用</v>
          </cell>
          <cell r="CO61" t="str">
            <v>不適用</v>
          </cell>
          <cell r="CP61" t="str">
            <v>不適用</v>
          </cell>
          <cell r="CQ61" t="str">
            <v>不適用</v>
          </cell>
          <cell r="CR61" t="str">
            <v>圓形五邊承托架</v>
          </cell>
          <cell r="CS61" t="str">
            <v>請按此處</v>
          </cell>
          <cell r="CT61" t="str">
            <v>請按此處</v>
          </cell>
          <cell r="CU61" t="str">
            <v>請按此處</v>
          </cell>
          <cell r="CV61">
            <v>17.5</v>
          </cell>
          <cell r="CW61">
            <v>38.5</v>
          </cell>
          <cell r="CX61" t="str">
            <v xml:space="preserve">兩爐頭邊沿距離 : 約268mm (10.5吋)
爐架直徑：架底是7吋、架頂是9吋。
SDD 回覆 : 
銀色鋁合金框架是屬原色
黑色鋁合金框架是原色 + 嘖上黑色顏色
</v>
          </cell>
          <cell r="CY61" t="str">
            <v>氣喉接駁位置：爐底後方右角</v>
          </cell>
        </row>
        <row r="62">
          <cell r="A62" t="str">
            <v>TRJB12S-C</v>
          </cell>
          <cell r="B62" t="str">
            <v>停售</v>
          </cell>
          <cell r="E62" t="str">
            <v>TGC</v>
          </cell>
          <cell r="H62" t="str">
            <v>TRJB12S-C</v>
          </cell>
          <cell r="I62" t="str">
            <v>操作資料</v>
          </cell>
          <cell r="J62" t="str">
            <v>說明書</v>
          </cell>
          <cell r="K62" t="str">
            <v>2008年12月31日</v>
          </cell>
          <cell r="L62" t="str">
            <v>2020年1月7日</v>
          </cell>
          <cell r="M62" t="str">
            <v>日本</v>
          </cell>
          <cell r="N62" t="str">
            <v>已停售</v>
          </cell>
          <cell r="O62" t="str">
            <v>請按此處</v>
          </cell>
          <cell r="P62">
            <v>55</v>
          </cell>
          <cell r="Q62">
            <v>2.1653543307086616</v>
          </cell>
          <cell r="R62">
            <v>69</v>
          </cell>
          <cell r="S62">
            <v>2.7165354330708662</v>
          </cell>
          <cell r="T62">
            <v>125</v>
          </cell>
          <cell r="U62">
            <v>4.9212598425196852</v>
          </cell>
          <cell r="V62">
            <v>310</v>
          </cell>
          <cell r="W62">
            <v>12.20472440944882</v>
          </cell>
          <cell r="X62">
            <v>522</v>
          </cell>
          <cell r="Y62">
            <v>20.551181102362207</v>
          </cell>
          <cell r="Z62">
            <v>180</v>
          </cell>
          <cell r="AA62">
            <v>7.0866141732283472</v>
          </cell>
          <cell r="AC62" t="str">
            <v>268 x 490 (10.6" x 19.3")</v>
          </cell>
          <cell r="AD62">
            <v>2</v>
          </cell>
          <cell r="AE62" t="str">
            <v>上 (大爐)</v>
          </cell>
          <cell r="AF62" t="str">
            <v>下 (細爐)</v>
          </cell>
          <cell r="AJ62">
            <v>10.08</v>
          </cell>
          <cell r="AK62">
            <v>5.4</v>
          </cell>
          <cell r="AL62">
            <v>0</v>
          </cell>
          <cell r="AM62">
            <v>0</v>
          </cell>
          <cell r="AN62">
            <v>0</v>
          </cell>
          <cell r="AO62">
            <v>2.16</v>
          </cell>
          <cell r="AP62">
            <v>1.08</v>
          </cell>
          <cell r="AQ62">
            <v>0</v>
          </cell>
          <cell r="AR62">
            <v>0</v>
          </cell>
          <cell r="AS62">
            <v>0</v>
          </cell>
          <cell r="AT62">
            <v>2.8</v>
          </cell>
          <cell r="AU62">
            <v>1.5</v>
          </cell>
          <cell r="AY62">
            <v>0.6</v>
          </cell>
          <cell r="AZ62">
            <v>0.3</v>
          </cell>
          <cell r="BD62">
            <v>9564.6808510399987</v>
          </cell>
          <cell r="BE62">
            <v>5123.9361702000006</v>
          </cell>
          <cell r="BF62">
            <v>0</v>
          </cell>
          <cell r="BG62">
            <v>0</v>
          </cell>
          <cell r="BH62">
            <v>0</v>
          </cell>
          <cell r="BI62">
            <v>2049.5744680799999</v>
          </cell>
          <cell r="BJ62">
            <v>1024.7872340399999</v>
          </cell>
          <cell r="BK62">
            <v>0</v>
          </cell>
          <cell r="BL62">
            <v>0</v>
          </cell>
          <cell r="BM62">
            <v>0</v>
          </cell>
          <cell r="BN62">
            <v>2.6308800000000003</v>
          </cell>
          <cell r="BO62">
            <v>1.4094000000000002</v>
          </cell>
          <cell r="BP62">
            <v>0</v>
          </cell>
          <cell r="BQ62">
            <v>0</v>
          </cell>
          <cell r="BR62">
            <v>0</v>
          </cell>
          <cell r="BS62">
            <v>0.56376000000000004</v>
          </cell>
          <cell r="BT62">
            <v>0.28188000000000002</v>
          </cell>
          <cell r="BU62">
            <v>0</v>
          </cell>
          <cell r="BV62">
            <v>0</v>
          </cell>
          <cell r="BW62">
            <v>0</v>
          </cell>
          <cell r="BX62" t="str">
            <v>不可以</v>
          </cell>
          <cell r="BY62" t="str">
            <v>不可以</v>
          </cell>
          <cell r="CC62" t="str">
            <v>(1) 密封式爐頭設計，食物汁不會輕易溢進爐頭內。
(2) 採用不銹鋼爐架，外型典雅，堅固穏定，底部設有定位針，避免轉動刮花玻璃面。
(3) 採用Schott德國製造陶瓷玻璃。
(4) 每個爐頭承重量大約10KG (即22磅)</v>
          </cell>
          <cell r="CD62" t="str">
            <v>不適用</v>
          </cell>
          <cell r="CE62" t="str">
            <v>一枚C型1.5V</v>
          </cell>
          <cell r="CF62" t="str">
            <v>爐底右前方</v>
          </cell>
          <cell r="CG62" t="str">
            <v>黑色陶瓷玻璃配銀色鋁合金框架</v>
          </cell>
          <cell r="CH62" t="str">
            <v>旋鈕式</v>
          </cell>
          <cell r="CI62" t="str">
            <v>旋鈕式</v>
          </cell>
          <cell r="CJ62" t="str">
            <v>單環</v>
          </cell>
          <cell r="CK62" t="str">
            <v>單環</v>
          </cell>
          <cell r="CL62" t="str">
            <v>不適用</v>
          </cell>
          <cell r="CM62" t="str">
            <v>不適用</v>
          </cell>
          <cell r="CN62" t="str">
            <v>不適用</v>
          </cell>
          <cell r="CO62" t="str">
            <v>不適用</v>
          </cell>
          <cell r="CP62" t="str">
            <v>不適用</v>
          </cell>
          <cell r="CQ62" t="str">
            <v>不適用</v>
          </cell>
          <cell r="CR62" t="str">
            <v>圓形六邊承托架</v>
          </cell>
          <cell r="CS62" t="str">
            <v>請按此處</v>
          </cell>
          <cell r="CT62" t="str">
            <v>不適用</v>
          </cell>
          <cell r="CU62" t="str">
            <v>請按此處</v>
          </cell>
          <cell r="CV62">
            <v>7.7</v>
          </cell>
          <cell r="CW62">
            <v>16.940000000000001</v>
          </cell>
          <cell r="CX62" t="str">
            <v>尺寸資料 (請按此圖)：
(1) 細爐頭(下方)的正中點至黑色玻璃面邊(左 / 右方)的長度，310mm 除2。
(2) 玻璃長度為440mm。
(3) 細爐頭正中點至爐掣接近點位為110mm。</v>
          </cell>
          <cell r="CY62" t="str">
            <v>氣喉接駁位置：爐底後方右角</v>
          </cell>
          <cell r="CZ62" t="str">
            <v>速遞 -組合式後方接氣款式</v>
          </cell>
          <cell r="DA62" t="str">
            <v>速遞 - 改良項目</v>
          </cell>
          <cell r="DF62"/>
          <cell r="DG62"/>
        </row>
        <row r="63">
          <cell r="A63" t="str">
            <v>SRDB93</v>
          </cell>
          <cell r="B63" t="str">
            <v>停售</v>
          </cell>
          <cell r="E63" t="str">
            <v>Simpa</v>
          </cell>
          <cell r="F63" t="str">
            <v>SRDB93</v>
          </cell>
          <cell r="I63" t="str">
            <v>講義</v>
          </cell>
          <cell r="K63" t="str">
            <v>2005年7月20日</v>
          </cell>
          <cell r="L63" t="str">
            <v>2010年7月27日</v>
          </cell>
          <cell r="M63" t="str">
            <v>印尼</v>
          </cell>
          <cell r="N63" t="str">
            <v>已停售</v>
          </cell>
          <cell r="O63" t="str">
            <v>請按此處</v>
          </cell>
          <cell r="P63">
            <v>65</v>
          </cell>
          <cell r="Q63">
            <v>2.5590551181102366</v>
          </cell>
          <cell r="R63">
            <v>77</v>
          </cell>
          <cell r="S63">
            <v>3.0314960629921264</v>
          </cell>
          <cell r="T63">
            <v>115</v>
          </cell>
          <cell r="U63">
            <v>4.5275590551181102</v>
          </cell>
          <cell r="V63">
            <v>867</v>
          </cell>
          <cell r="W63">
            <v>34.133858267716541</v>
          </cell>
          <cell r="X63">
            <v>507</v>
          </cell>
          <cell r="Y63">
            <v>19.960629921259844</v>
          </cell>
          <cell r="AA63">
            <v>0</v>
          </cell>
          <cell r="AC63" t="str">
            <v>835 x 475 (32.9" x 18.7")</v>
          </cell>
          <cell r="AD63">
            <v>3</v>
          </cell>
          <cell r="AE63" t="str">
            <v>左 (炒鑊)</v>
          </cell>
          <cell r="AF63" t="str">
            <v>右上 (中爐)</v>
          </cell>
          <cell r="AG63" t="str">
            <v>右下 (中爐)</v>
          </cell>
          <cell r="AJ63">
            <v>17.28</v>
          </cell>
          <cell r="AK63">
            <v>9.7200000000000006</v>
          </cell>
          <cell r="AL63">
            <v>9.7200000000000006</v>
          </cell>
          <cell r="AM63">
            <v>0</v>
          </cell>
          <cell r="AN63">
            <v>0</v>
          </cell>
          <cell r="AO63">
            <v>1.08</v>
          </cell>
          <cell r="AP63">
            <v>2.16</v>
          </cell>
          <cell r="AQ63">
            <v>2.16</v>
          </cell>
          <cell r="AR63">
            <v>0</v>
          </cell>
          <cell r="AS63">
            <v>0</v>
          </cell>
          <cell r="AT63">
            <v>4.8</v>
          </cell>
          <cell r="AU63">
            <v>2.7</v>
          </cell>
          <cell r="AV63">
            <v>2.7</v>
          </cell>
          <cell r="AY63">
            <v>0.3</v>
          </cell>
          <cell r="AZ63">
            <v>0.6</v>
          </cell>
          <cell r="BA63">
            <v>0.6</v>
          </cell>
          <cell r="BD63">
            <v>16396.595744639999</v>
          </cell>
          <cell r="BE63">
            <v>9223.0851063600003</v>
          </cell>
          <cell r="BF63">
            <v>9223.0851063600003</v>
          </cell>
          <cell r="BG63">
            <v>0</v>
          </cell>
          <cell r="BH63">
            <v>0</v>
          </cell>
          <cell r="BI63">
            <v>1024.7872340399999</v>
          </cell>
          <cell r="BJ63">
            <v>2049.5744680799999</v>
          </cell>
          <cell r="BK63">
            <v>2049.5744680799999</v>
          </cell>
          <cell r="BL63">
            <v>0</v>
          </cell>
          <cell r="BM63">
            <v>0</v>
          </cell>
          <cell r="BN63">
            <v>4.5100800000000003</v>
          </cell>
          <cell r="BO63">
            <v>2.5369200000000003</v>
          </cell>
          <cell r="BP63">
            <v>2.5369200000000003</v>
          </cell>
          <cell r="BQ63">
            <v>0</v>
          </cell>
          <cell r="BR63">
            <v>0</v>
          </cell>
          <cell r="BS63">
            <v>0.28188000000000002</v>
          </cell>
          <cell r="BT63">
            <v>0.56376000000000004</v>
          </cell>
          <cell r="BU63">
            <v>0.56376000000000004</v>
          </cell>
          <cell r="BV63">
            <v>0</v>
          </cell>
          <cell r="BW63">
            <v>0</v>
          </cell>
          <cell r="BX63" t="str">
            <v>可以</v>
          </cell>
          <cell r="BY63" t="str">
            <v>不可以</v>
          </cell>
          <cell r="BZ63" t="str">
            <v>不可以</v>
          </cell>
          <cell r="CC63" t="str">
            <v>(1) 人體工學設計的流線型旋鈕
(2) 輔肋承托架，方便擺放煮食用具
(3) 火力特大
(4) 流線型爐架，美觀大方</v>
          </cell>
          <cell r="CD63" t="str">
            <v>不適用</v>
          </cell>
          <cell r="CE63" t="str">
            <v>一枚C型1.5V</v>
          </cell>
          <cell r="CF63" t="str">
            <v>爐底中央近左前方</v>
          </cell>
          <cell r="CG63" t="str">
            <v>白色搪瓷
灰色搪瓷
不銹鋼</v>
          </cell>
          <cell r="CH63" t="str">
            <v>旋鈕式</v>
          </cell>
          <cell r="CI63" t="str">
            <v>旋鈕式</v>
          </cell>
          <cell r="CJ63" t="str">
            <v>雙環</v>
          </cell>
          <cell r="CK63" t="str">
            <v>單環</v>
          </cell>
          <cell r="CL63" t="str">
            <v>單環</v>
          </cell>
          <cell r="CM63" t="str">
            <v>不適用</v>
          </cell>
          <cell r="CN63" t="str">
            <v>不適用</v>
          </cell>
          <cell r="CO63" t="str">
            <v>不適用</v>
          </cell>
          <cell r="CP63" t="str">
            <v>不適用</v>
          </cell>
          <cell r="CQ63" t="str">
            <v>不適用</v>
          </cell>
          <cell r="CR63" t="str">
            <v>長形連架</v>
          </cell>
          <cell r="CS63" t="str">
            <v>請按此處</v>
          </cell>
          <cell r="CT63" t="str">
            <v>請按此處</v>
          </cell>
          <cell r="CU63" t="str">
            <v>請按此處</v>
          </cell>
          <cell r="CV63">
            <v>13.5</v>
          </cell>
          <cell r="CW63">
            <v>29.700000000000003</v>
          </cell>
          <cell r="CX63"/>
          <cell r="CY63" t="str">
            <v>氣喉接駁位置：爐底後方右角</v>
          </cell>
        </row>
        <row r="64">
          <cell r="A64" t="str">
            <v>SRJB73</v>
          </cell>
          <cell r="B64" t="str">
            <v>停售</v>
          </cell>
          <cell r="E64" t="str">
            <v>Simpa</v>
          </cell>
          <cell r="F64" t="str">
            <v>SRJB73</v>
          </cell>
          <cell r="I64" t="str">
            <v>操作資料</v>
          </cell>
          <cell r="J64" t="str">
            <v>講義</v>
          </cell>
          <cell r="K64" t="str">
            <v>2005年11月11日</v>
          </cell>
          <cell r="L64" t="str">
            <v>2012年10月16日</v>
          </cell>
          <cell r="M64" t="str">
            <v>日本</v>
          </cell>
          <cell r="N64" t="str">
            <v>已停售</v>
          </cell>
          <cell r="O64" t="str">
            <v>請按此處</v>
          </cell>
          <cell r="P64">
            <v>70</v>
          </cell>
          <cell r="Q64">
            <v>2.7559055118110236</v>
          </cell>
          <cell r="R64">
            <v>85</v>
          </cell>
          <cell r="S64">
            <v>3.3464566929133861</v>
          </cell>
          <cell r="U64">
            <v>0</v>
          </cell>
          <cell r="V64">
            <v>757</v>
          </cell>
          <cell r="W64">
            <v>29.803149606299215</v>
          </cell>
          <cell r="X64">
            <v>472</v>
          </cell>
          <cell r="Y64">
            <v>18.582677165354333</v>
          </cell>
          <cell r="Z64">
            <v>390</v>
          </cell>
          <cell r="AA64">
            <v>15.354330708661418</v>
          </cell>
          <cell r="AC64" t="str">
            <v>703 x 403 (27.7" x 15.9")</v>
          </cell>
          <cell r="AD64">
            <v>3</v>
          </cell>
          <cell r="AE64" t="str">
            <v>左 (炒鑊)</v>
          </cell>
          <cell r="AF64" t="str">
            <v>中 (中爐)</v>
          </cell>
          <cell r="AG64" t="str">
            <v>右 (炒鑊)</v>
          </cell>
          <cell r="AJ64">
            <v>17.28</v>
          </cell>
          <cell r="AK64">
            <v>9.7200000000000006</v>
          </cell>
          <cell r="AL64">
            <v>17.28</v>
          </cell>
          <cell r="AM64">
            <v>0</v>
          </cell>
          <cell r="AN64">
            <v>0</v>
          </cell>
          <cell r="AO64">
            <v>1.08</v>
          </cell>
          <cell r="AP64">
            <v>2.16</v>
          </cell>
          <cell r="AQ64">
            <v>1.08</v>
          </cell>
          <cell r="AR64">
            <v>0</v>
          </cell>
          <cell r="AS64">
            <v>0</v>
          </cell>
          <cell r="AT64">
            <v>4.8</v>
          </cell>
          <cell r="AU64">
            <v>2.7</v>
          </cell>
          <cell r="AV64">
            <v>4.8</v>
          </cell>
          <cell r="AY64">
            <v>0.3</v>
          </cell>
          <cell r="AZ64">
            <v>0.6</v>
          </cell>
          <cell r="BA64">
            <v>0.3</v>
          </cell>
          <cell r="BD64">
            <v>16396.595744639999</v>
          </cell>
          <cell r="BE64">
            <v>9223.0851063600003</v>
          </cell>
          <cell r="BF64">
            <v>16396.595744639999</v>
          </cell>
          <cell r="BG64">
            <v>0</v>
          </cell>
          <cell r="BH64">
            <v>0</v>
          </cell>
          <cell r="BI64">
            <v>1024.7872340399999</v>
          </cell>
          <cell r="BJ64">
            <v>2049.5744680799999</v>
          </cell>
          <cell r="BK64">
            <v>1024.7872340399999</v>
          </cell>
          <cell r="BL64">
            <v>0</v>
          </cell>
          <cell r="BM64">
            <v>0</v>
          </cell>
          <cell r="BN64">
            <v>4.5100800000000003</v>
          </cell>
          <cell r="BO64">
            <v>2.5369200000000003</v>
          </cell>
          <cell r="BP64">
            <v>4.5100800000000003</v>
          </cell>
          <cell r="BQ64">
            <v>0</v>
          </cell>
          <cell r="BR64">
            <v>0</v>
          </cell>
          <cell r="BS64">
            <v>0.28188000000000002</v>
          </cell>
          <cell r="BT64">
            <v>0.56376000000000004</v>
          </cell>
          <cell r="BU64">
            <v>0.28188000000000002</v>
          </cell>
          <cell r="BV64">
            <v>0</v>
          </cell>
          <cell r="BW64">
            <v>0</v>
          </cell>
          <cell r="BX64" t="str">
            <v>可以</v>
          </cell>
          <cell r="BY64" t="str">
            <v>不可以</v>
          </cell>
          <cell r="BZ64" t="str">
            <v>可以</v>
          </cell>
          <cell r="CC64" t="str">
            <v>特大火力比起一般市面的嵌入式爐頭更適合講究鑊氣的中式烹飪</v>
          </cell>
          <cell r="CD64" t="str">
            <v>不適用</v>
          </cell>
          <cell r="CE64" t="str">
            <v>兩枚D型1.5V</v>
          </cell>
          <cell r="CF64" t="str">
            <v>爐底中央近左前方</v>
          </cell>
          <cell r="CG64" t="str">
            <v>白色搪瓷
不銹鋼
雲石花紋搪瓷</v>
          </cell>
          <cell r="CH64" t="str">
            <v>旋鈕式</v>
          </cell>
          <cell r="CI64" t="str">
            <v>旋鈕式</v>
          </cell>
          <cell r="CJ64" t="str">
            <v>雙環 x 2</v>
          </cell>
          <cell r="CK64" t="str">
            <v>單環</v>
          </cell>
          <cell r="CL64" t="str">
            <v>不適用</v>
          </cell>
          <cell r="CM64" t="str">
            <v>不適用</v>
          </cell>
          <cell r="CN64" t="str">
            <v>不適用</v>
          </cell>
          <cell r="CO64" t="str">
            <v>不適用</v>
          </cell>
          <cell r="CP64" t="str">
            <v>不適用</v>
          </cell>
          <cell r="CQ64" t="str">
            <v>不適用</v>
          </cell>
          <cell r="CR64" t="str">
            <v>圓形五邊承托架</v>
          </cell>
          <cell r="CS64" t="str">
            <v>請按此處</v>
          </cell>
          <cell r="CT64" t="str">
            <v>請按此處</v>
          </cell>
          <cell r="CU64" t="str">
            <v>請按此處</v>
          </cell>
          <cell r="CV64">
            <v>14</v>
          </cell>
          <cell r="CW64">
            <v>30.800000000000004</v>
          </cell>
          <cell r="CX64"/>
          <cell r="CY64" t="str">
            <v>氣喉接駁位置：爐底後方右角</v>
          </cell>
        </row>
        <row r="65">
          <cell r="A65" t="str">
            <v>SRJB73S</v>
          </cell>
          <cell r="B65" t="str">
            <v>停售</v>
          </cell>
          <cell r="E65" t="str">
            <v>Simpa</v>
          </cell>
          <cell r="F65" t="str">
            <v>SRJB73S</v>
          </cell>
          <cell r="I65" t="str">
            <v>講義</v>
          </cell>
          <cell r="J65" t="str">
            <v>說明書</v>
          </cell>
          <cell r="K65" t="str">
            <v>2008年5月8日</v>
          </cell>
          <cell r="L65" t="str">
            <v>2024年12月30日</v>
          </cell>
          <cell r="M65" t="str">
            <v>日本</v>
          </cell>
          <cell r="N65" t="str">
            <v>已停售</v>
          </cell>
          <cell r="O65" t="str">
            <v>請按此處</v>
          </cell>
          <cell r="P65">
            <v>54</v>
          </cell>
          <cell r="Q65">
            <v>2.1259842519685042</v>
          </cell>
          <cell r="R65">
            <v>63</v>
          </cell>
          <cell r="S65">
            <v>2.4803149606299213</v>
          </cell>
          <cell r="T65">
            <v>126</v>
          </cell>
          <cell r="U65">
            <v>4.9606299212598426</v>
          </cell>
          <cell r="V65">
            <v>750</v>
          </cell>
          <cell r="W65">
            <v>29.527559055118111</v>
          </cell>
          <cell r="X65">
            <v>470</v>
          </cell>
          <cell r="Y65">
            <v>18.503937007874018</v>
          </cell>
          <cell r="Z65">
            <v>470</v>
          </cell>
          <cell r="AA65">
            <v>18.503937007874018</v>
          </cell>
          <cell r="AC65" t="str">
            <v>703 x 403 (27.7" x 15.9")</v>
          </cell>
          <cell r="AD65">
            <v>3</v>
          </cell>
          <cell r="AE65" t="str">
            <v>左 (炒鑊)</v>
          </cell>
          <cell r="AF65" t="str">
            <v>中 (中爐)</v>
          </cell>
          <cell r="AG65" t="str">
            <v>右 (炒鑊)</v>
          </cell>
          <cell r="AJ65">
            <v>19.8</v>
          </cell>
          <cell r="AK65">
            <v>10.44</v>
          </cell>
          <cell r="AL65">
            <v>19.8</v>
          </cell>
          <cell r="AM65">
            <v>0</v>
          </cell>
          <cell r="AN65">
            <v>0</v>
          </cell>
          <cell r="AO65">
            <v>1.08</v>
          </cell>
          <cell r="AP65">
            <v>2.16</v>
          </cell>
          <cell r="AQ65">
            <v>1.08</v>
          </cell>
          <cell r="AR65">
            <v>0</v>
          </cell>
          <cell r="AS65">
            <v>0</v>
          </cell>
          <cell r="AT65">
            <v>5.5</v>
          </cell>
          <cell r="AU65">
            <v>2.9</v>
          </cell>
          <cell r="AV65">
            <v>5.5</v>
          </cell>
          <cell r="AY65">
            <v>0.3</v>
          </cell>
          <cell r="AZ65">
            <v>0.6</v>
          </cell>
          <cell r="BA65">
            <v>0.3</v>
          </cell>
          <cell r="BD65">
            <v>18787.765957399999</v>
          </cell>
          <cell r="BE65">
            <v>9906.276595719999</v>
          </cell>
          <cell r="BF65">
            <v>18787.765957399999</v>
          </cell>
          <cell r="BG65">
            <v>0</v>
          </cell>
          <cell r="BH65">
            <v>0</v>
          </cell>
          <cell r="BI65">
            <v>1024.7872340399999</v>
          </cell>
          <cell r="BJ65">
            <v>2049.5744680799999</v>
          </cell>
          <cell r="BK65">
            <v>1024.7872340399999</v>
          </cell>
          <cell r="BL65">
            <v>0</v>
          </cell>
          <cell r="BM65">
            <v>0</v>
          </cell>
          <cell r="BN65">
            <v>5.1678000000000006</v>
          </cell>
          <cell r="BO65">
            <v>2.7248399999999999</v>
          </cell>
          <cell r="BP65">
            <v>5.1678000000000006</v>
          </cell>
          <cell r="BQ65">
            <v>0</v>
          </cell>
          <cell r="BR65">
            <v>0</v>
          </cell>
          <cell r="BS65">
            <v>0.28188000000000002</v>
          </cell>
          <cell r="BT65">
            <v>0.56376000000000004</v>
          </cell>
          <cell r="BU65">
            <v>0.28188000000000002</v>
          </cell>
          <cell r="BV65">
            <v>0</v>
          </cell>
          <cell r="BW65">
            <v>0</v>
          </cell>
          <cell r="BX65" t="str">
            <v>可以</v>
          </cell>
          <cell r="BY65" t="str">
            <v>不可以</v>
          </cell>
          <cell r="BZ65" t="str">
            <v>可以</v>
          </cell>
          <cell r="CC65" t="str">
            <v>(1) 密封式爐頭設計，食物汁不會輕易溢進爐頭內。
(2) 特厚1.6毫米水晶搪瓷面板，堅固耐用。
(3) 堅固鑄造爐架，能更穩定地使用煮食器皿。</v>
          </cell>
          <cell r="CD65" t="str">
            <v>不適用</v>
          </cell>
          <cell r="CE65" t="str">
            <v>一枚C型1.5V</v>
          </cell>
          <cell r="CF65" t="str">
            <v>爐底右前方角</v>
          </cell>
          <cell r="CG65" t="str">
            <v>黑色水晶搪瓷</v>
          </cell>
          <cell r="CH65" t="str">
            <v>旋鈕式</v>
          </cell>
          <cell r="CI65" t="str">
            <v>旋鈕式</v>
          </cell>
          <cell r="CJ65" t="str">
            <v>雙環 x 2</v>
          </cell>
          <cell r="CK65" t="str">
            <v>單環</v>
          </cell>
          <cell r="CL65" t="str">
            <v>不適用</v>
          </cell>
          <cell r="CM65" t="str">
            <v>不適用</v>
          </cell>
          <cell r="CN65" t="str">
            <v>不適用</v>
          </cell>
          <cell r="CO65" t="str">
            <v>不適用</v>
          </cell>
          <cell r="CP65" t="str">
            <v>不適用</v>
          </cell>
          <cell r="CQ65" t="str">
            <v>不適用</v>
          </cell>
          <cell r="CR65" t="str">
            <v>圓形五邊承托架</v>
          </cell>
          <cell r="CS65" t="str">
            <v>請按此處</v>
          </cell>
          <cell r="CT65" t="str">
            <v>請按此處</v>
          </cell>
          <cell r="CU65" t="str">
            <v>請按此處</v>
          </cell>
          <cell r="CV65">
            <v>14</v>
          </cell>
          <cell r="CW65">
            <v>30.800000000000004</v>
          </cell>
          <cell r="CX65" t="str">
            <v>左爐頭與中爐頭中心距離：255mm
右爐頭與中爐頭中心距離：255mm
細環 (黑色部分) 是用銅 SIMMER CAP , 拿起細環, 下面爐坐 (銀色部分) 是用鋁</v>
          </cell>
          <cell r="CY65" t="str">
            <v>氣喉接駁位置：爐底後方右邊</v>
          </cell>
          <cell r="DF65"/>
          <cell r="DG65"/>
        </row>
        <row r="66">
          <cell r="A66" t="str">
            <v>RB3GVA</v>
          </cell>
          <cell r="B66" t="str">
            <v>停售</v>
          </cell>
          <cell r="E66" t="str">
            <v xml:space="preserve">TGC </v>
          </cell>
          <cell r="G66" t="str">
            <v>RB3GVA - 交流電打火</v>
          </cell>
          <cell r="I66" t="str">
            <v>爐架適配器</v>
          </cell>
          <cell r="K66" t="str">
            <v>2002年4月26日</v>
          </cell>
          <cell r="L66" t="str">
            <v>2011年6月20日</v>
          </cell>
          <cell r="M66" t="str">
            <v>台灣</v>
          </cell>
          <cell r="N66" t="str">
            <v>已停售</v>
          </cell>
          <cell r="O66" t="str">
            <v>請按此處</v>
          </cell>
          <cell r="P66">
            <v>55</v>
          </cell>
          <cell r="Q66">
            <v>2.1653543307086616</v>
          </cell>
          <cell r="R66">
            <v>63</v>
          </cell>
          <cell r="S66">
            <v>2.4803149606299213</v>
          </cell>
          <cell r="U66">
            <v>0</v>
          </cell>
          <cell r="V66">
            <v>894</v>
          </cell>
          <cell r="W66">
            <v>35.196850393700792</v>
          </cell>
          <cell r="X66">
            <v>450</v>
          </cell>
          <cell r="Y66">
            <v>17.716535433070867</v>
          </cell>
          <cell r="AA66">
            <v>0</v>
          </cell>
          <cell r="AC66" t="str">
            <v>815 x 405 (32.1" x 15.9")</v>
          </cell>
          <cell r="AD66">
            <v>3</v>
          </cell>
          <cell r="AE66" t="str">
            <v>左 (炒鑊)</v>
          </cell>
          <cell r="AF66" t="str">
            <v>中 (中爐)</v>
          </cell>
          <cell r="AG66" t="str">
            <v>右 (炒鑊)</v>
          </cell>
          <cell r="AJ66">
            <v>17.28</v>
          </cell>
          <cell r="AK66">
            <v>9.7200000000000006</v>
          </cell>
          <cell r="AL66">
            <v>17.28</v>
          </cell>
          <cell r="AM66">
            <v>0</v>
          </cell>
          <cell r="AN66">
            <v>0</v>
          </cell>
          <cell r="AO66">
            <v>3.24</v>
          </cell>
          <cell r="AP66">
            <v>2.16</v>
          </cell>
          <cell r="AQ66">
            <v>3.24</v>
          </cell>
          <cell r="AR66">
            <v>0</v>
          </cell>
          <cell r="AS66">
            <v>0</v>
          </cell>
          <cell r="AT66">
            <v>4.8</v>
          </cell>
          <cell r="AU66">
            <v>2.7</v>
          </cell>
          <cell r="AV66">
            <v>4.8</v>
          </cell>
          <cell r="AY66">
            <v>0.9</v>
          </cell>
          <cell r="AZ66">
            <v>0.6</v>
          </cell>
          <cell r="BA66">
            <v>0.9</v>
          </cell>
          <cell r="BD66">
            <v>16396.595744639999</v>
          </cell>
          <cell r="BE66">
            <v>9223.0851063600003</v>
          </cell>
          <cell r="BF66">
            <v>16396.595744639999</v>
          </cell>
          <cell r="BG66">
            <v>0</v>
          </cell>
          <cell r="BH66">
            <v>0</v>
          </cell>
          <cell r="BI66">
            <v>3074.3617021200002</v>
          </cell>
          <cell r="BJ66">
            <v>2049.5744680799999</v>
          </cell>
          <cell r="BK66">
            <v>3074.3617021200002</v>
          </cell>
          <cell r="BL66">
            <v>0</v>
          </cell>
          <cell r="BM66">
            <v>0</v>
          </cell>
          <cell r="BN66">
            <v>4.5100800000000003</v>
          </cell>
          <cell r="BO66">
            <v>2.5369200000000003</v>
          </cell>
          <cell r="BP66">
            <v>4.5100800000000003</v>
          </cell>
          <cell r="BQ66">
            <v>0</v>
          </cell>
          <cell r="BR66">
            <v>0</v>
          </cell>
          <cell r="BS66">
            <v>0.84564000000000006</v>
          </cell>
          <cell r="BT66">
            <v>0.56376000000000004</v>
          </cell>
          <cell r="BU66">
            <v>0.84564000000000006</v>
          </cell>
          <cell r="BV66">
            <v>0</v>
          </cell>
          <cell r="BW66">
            <v>0</v>
          </cell>
          <cell r="BX66" t="str">
            <v>不可以</v>
          </cell>
          <cell r="BY66" t="str">
            <v>不可以</v>
          </cell>
          <cell r="BZ66" t="str">
            <v>不可以</v>
          </cell>
          <cell r="CC66" t="str">
            <v>採用澳洲製造強化玻璃，堅固耐用，玻璃面兩邊成弧形。</v>
          </cell>
          <cell r="CD66" t="str">
            <v>220V,13A</v>
          </cell>
          <cell r="CE66" t="str">
            <v>不適用</v>
          </cell>
          <cell r="CF66" t="str">
            <v>不適用</v>
          </cell>
          <cell r="CG66" t="str">
            <v>黑色強化玻璃
白色強化玻璃</v>
          </cell>
          <cell r="CH66" t="str">
            <v>旋鈕式</v>
          </cell>
          <cell r="CI66" t="str">
            <v>旋鈕式</v>
          </cell>
          <cell r="CJ66" t="str">
            <v>雙環 x 2</v>
          </cell>
          <cell r="CK66" t="str">
            <v>單環</v>
          </cell>
          <cell r="CL66" t="str">
            <v>不適用</v>
          </cell>
          <cell r="CM66" t="str">
            <v>不適用</v>
          </cell>
          <cell r="CN66" t="str">
            <v>不適用</v>
          </cell>
          <cell r="CO66" t="str">
            <v>不適用</v>
          </cell>
          <cell r="CP66" t="str">
            <v>不適用</v>
          </cell>
          <cell r="CQ66" t="str">
            <v>不適用</v>
          </cell>
          <cell r="CR66" t="str">
            <v>圓形五邊承托架</v>
          </cell>
          <cell r="CS66" t="str">
            <v>請按此處</v>
          </cell>
          <cell r="CT66" t="str">
            <v>不適用</v>
          </cell>
          <cell r="CU66" t="str">
            <v>請按此處</v>
          </cell>
          <cell r="CV66">
            <v>22</v>
          </cell>
          <cell r="CW66">
            <v>48.400000000000006</v>
          </cell>
          <cell r="CX66" t="str">
            <v>爐頭蓋有金色﹝拋光銅合金﹞、銀色﹝鍍鉻銅合金 Chromium plated﹞和黑色﹝陶瓷表面處理 Ceramic coated﹞，可供選擇。</v>
          </cell>
          <cell r="CY66" t="str">
            <v>氣喉接駁位置：爐底後方右邊</v>
          </cell>
        </row>
        <row r="67">
          <cell r="A67" t="str">
            <v>RB3GVB</v>
          </cell>
          <cell r="B67" t="str">
            <v>停售</v>
          </cell>
          <cell r="E67" t="str">
            <v xml:space="preserve">TGC </v>
          </cell>
          <cell r="G67" t="str">
            <v>RB3GVB - 電池打火</v>
          </cell>
          <cell r="I67" t="str">
            <v>爐架適配器</v>
          </cell>
          <cell r="K67" t="str">
            <v>2002年4月26日</v>
          </cell>
          <cell r="L67" t="str">
            <v>2011年6月20日</v>
          </cell>
          <cell r="M67" t="str">
            <v>台灣</v>
          </cell>
          <cell r="N67" t="str">
            <v>已停售</v>
          </cell>
          <cell r="O67" t="str">
            <v>請按此處</v>
          </cell>
          <cell r="P67">
            <v>55</v>
          </cell>
          <cell r="Q67">
            <v>2.1653543307086616</v>
          </cell>
          <cell r="R67">
            <v>63</v>
          </cell>
          <cell r="S67">
            <v>2.4803149606299213</v>
          </cell>
          <cell r="U67">
            <v>0</v>
          </cell>
          <cell r="V67">
            <v>894</v>
          </cell>
          <cell r="W67">
            <v>35.196850393700792</v>
          </cell>
          <cell r="X67">
            <v>450</v>
          </cell>
          <cell r="Y67">
            <v>17.716535433070867</v>
          </cell>
          <cell r="AA67">
            <v>0</v>
          </cell>
          <cell r="AC67" t="str">
            <v>815 x 405 (32.1" x 15.9")</v>
          </cell>
          <cell r="AD67">
            <v>3</v>
          </cell>
          <cell r="AE67" t="str">
            <v>左 (炒鑊)</v>
          </cell>
          <cell r="AF67" t="str">
            <v>中 (中爐)</v>
          </cell>
          <cell r="AG67" t="str">
            <v>右 (炒鑊)</v>
          </cell>
          <cell r="AJ67">
            <v>17.28</v>
          </cell>
          <cell r="AK67">
            <v>9.7200000000000006</v>
          </cell>
          <cell r="AL67">
            <v>17.28</v>
          </cell>
          <cell r="AM67">
            <v>0</v>
          </cell>
          <cell r="AN67">
            <v>0</v>
          </cell>
          <cell r="AO67">
            <v>3.24</v>
          </cell>
          <cell r="AP67">
            <v>2.16</v>
          </cell>
          <cell r="AQ67">
            <v>3.24</v>
          </cell>
          <cell r="AR67">
            <v>0</v>
          </cell>
          <cell r="AS67">
            <v>0</v>
          </cell>
          <cell r="AT67">
            <v>4.8</v>
          </cell>
          <cell r="AU67">
            <v>2.7</v>
          </cell>
          <cell r="AV67">
            <v>4.8</v>
          </cell>
          <cell r="AY67">
            <v>0.9</v>
          </cell>
          <cell r="AZ67">
            <v>0.6</v>
          </cell>
          <cell r="BA67">
            <v>0.9</v>
          </cell>
          <cell r="BD67">
            <v>16396.595744639999</v>
          </cell>
          <cell r="BE67">
            <v>9223.0851063600003</v>
          </cell>
          <cell r="BF67">
            <v>16396.595744639999</v>
          </cell>
          <cell r="BG67">
            <v>0</v>
          </cell>
          <cell r="BH67">
            <v>0</v>
          </cell>
          <cell r="BI67">
            <v>3074.3617021200002</v>
          </cell>
          <cell r="BJ67">
            <v>2049.5744680799999</v>
          </cell>
          <cell r="BK67">
            <v>3074.3617021200002</v>
          </cell>
          <cell r="BL67">
            <v>0</v>
          </cell>
          <cell r="BM67">
            <v>0</v>
          </cell>
          <cell r="BN67">
            <v>4.5100800000000003</v>
          </cell>
          <cell r="BO67">
            <v>2.5369200000000003</v>
          </cell>
          <cell r="BP67">
            <v>4.5100800000000003</v>
          </cell>
          <cell r="BQ67">
            <v>0</v>
          </cell>
          <cell r="BR67">
            <v>0</v>
          </cell>
          <cell r="BS67">
            <v>0.84564000000000006</v>
          </cell>
          <cell r="BT67">
            <v>0.56376000000000004</v>
          </cell>
          <cell r="BU67">
            <v>0.84564000000000006</v>
          </cell>
          <cell r="BV67">
            <v>0</v>
          </cell>
          <cell r="BW67">
            <v>0</v>
          </cell>
          <cell r="BX67" t="str">
            <v>不可以</v>
          </cell>
          <cell r="BY67" t="str">
            <v>不可以</v>
          </cell>
          <cell r="BZ67" t="str">
            <v>不可以</v>
          </cell>
          <cell r="CC67" t="str">
            <v>採用澳洲製造強化玻璃，堅固耐用，玻璃面兩邊成弧形。</v>
          </cell>
          <cell r="CD67" t="str">
            <v>不適用</v>
          </cell>
          <cell r="CE67" t="str">
            <v>一枚D型1.5V</v>
          </cell>
          <cell r="CF67" t="str">
            <v>爐底左前方角</v>
          </cell>
          <cell r="CG67" t="str">
            <v>黑色強化玻璃
白色強化玻璃</v>
          </cell>
          <cell r="CH67" t="str">
            <v>旋鈕式</v>
          </cell>
          <cell r="CI67" t="str">
            <v>旋鈕式</v>
          </cell>
          <cell r="CJ67" t="str">
            <v>雙環 x 2</v>
          </cell>
          <cell r="CK67" t="str">
            <v>單環</v>
          </cell>
          <cell r="CL67" t="str">
            <v>不適用</v>
          </cell>
          <cell r="CM67" t="str">
            <v>不適用</v>
          </cell>
          <cell r="CN67" t="str">
            <v>不適用</v>
          </cell>
          <cell r="CO67" t="str">
            <v>不適用</v>
          </cell>
          <cell r="CP67" t="str">
            <v>不適用</v>
          </cell>
          <cell r="CQ67" t="str">
            <v>不適用</v>
          </cell>
          <cell r="CR67" t="str">
            <v>圓形五邊承托架</v>
          </cell>
          <cell r="CS67" t="str">
            <v>請按此處</v>
          </cell>
          <cell r="CT67" t="str">
            <v>不適用</v>
          </cell>
          <cell r="CU67" t="str">
            <v>請按此處</v>
          </cell>
          <cell r="CV67">
            <v>22</v>
          </cell>
          <cell r="CW67">
            <v>48.400000000000006</v>
          </cell>
          <cell r="CX67" t="str">
            <v>爐頭蓋有金色﹝拋光銅合金﹞、銀色﹝鍍鉻銅合金 Chromium plated﹞和黑色﹝陶瓷表面處理 Ceramic coated﹞，可供選擇。</v>
          </cell>
          <cell r="CY67" t="str">
            <v>氣喉接駁位置：爐底後方右邊</v>
          </cell>
        </row>
        <row r="68">
          <cell r="A68" t="str">
            <v>RTB73G</v>
          </cell>
          <cell r="B68" t="str">
            <v>停售</v>
          </cell>
          <cell r="E68" t="str">
            <v>TGC</v>
          </cell>
          <cell r="F68" t="str">
            <v>RTB73-G</v>
          </cell>
          <cell r="G68" t="str">
            <v>RTB73-G</v>
          </cell>
          <cell r="I68" t="str">
            <v>爐架適配器</v>
          </cell>
          <cell r="K68" t="str">
            <v>2005年5月13日</v>
          </cell>
          <cell r="L68" t="str">
            <v>2013年8月20日</v>
          </cell>
          <cell r="M68" t="str">
            <v>台灣</v>
          </cell>
          <cell r="N68" t="str">
            <v>已停售</v>
          </cell>
          <cell r="O68" t="str">
            <v>請按此處</v>
          </cell>
          <cell r="P68">
            <v>55</v>
          </cell>
          <cell r="Q68">
            <v>2.1653543307086616</v>
          </cell>
          <cell r="R68">
            <v>65</v>
          </cell>
          <cell r="S68">
            <v>2.5590551181102366</v>
          </cell>
          <cell r="U68">
            <v>0</v>
          </cell>
          <cell r="V68">
            <v>800</v>
          </cell>
          <cell r="W68">
            <v>31.496062992125985</v>
          </cell>
          <cell r="X68">
            <v>460</v>
          </cell>
          <cell r="Y68">
            <v>18.110236220472441</v>
          </cell>
          <cell r="AA68">
            <v>0</v>
          </cell>
          <cell r="AC68" t="str">
            <v>703 x 403 (27.7" x 15.9")</v>
          </cell>
          <cell r="AD68">
            <v>3</v>
          </cell>
          <cell r="AE68" t="str">
            <v>左 (炒鑊)</v>
          </cell>
          <cell r="AF68" t="str">
            <v>中 (中爐)</v>
          </cell>
          <cell r="AG68" t="str">
            <v>右 (炒鑊)</v>
          </cell>
          <cell r="AJ68">
            <v>17.28</v>
          </cell>
          <cell r="AK68">
            <v>9</v>
          </cell>
          <cell r="AL68">
            <v>17.28</v>
          </cell>
          <cell r="AM68">
            <v>0</v>
          </cell>
          <cell r="AN68">
            <v>0</v>
          </cell>
          <cell r="AO68">
            <v>3.24</v>
          </cell>
          <cell r="AP68">
            <v>2.16</v>
          </cell>
          <cell r="AQ68">
            <v>3.24</v>
          </cell>
          <cell r="AR68">
            <v>0</v>
          </cell>
          <cell r="AS68">
            <v>0</v>
          </cell>
          <cell r="AT68">
            <v>4.8</v>
          </cell>
          <cell r="AU68">
            <v>2.5</v>
          </cell>
          <cell r="AV68">
            <v>4.8</v>
          </cell>
          <cell r="AY68">
            <v>0.9</v>
          </cell>
          <cell r="AZ68">
            <v>0.6</v>
          </cell>
          <cell r="BA68">
            <v>0.9</v>
          </cell>
          <cell r="BD68">
            <v>16396.595744639999</v>
          </cell>
          <cell r="BE68">
            <v>8539.8936169999997</v>
          </cell>
          <cell r="BF68">
            <v>16396.595744639999</v>
          </cell>
          <cell r="BG68">
            <v>0</v>
          </cell>
          <cell r="BH68">
            <v>0</v>
          </cell>
          <cell r="BI68">
            <v>3074.3617021200002</v>
          </cell>
          <cell r="BJ68">
            <v>2049.5744680799999</v>
          </cell>
          <cell r="BK68">
            <v>3074.3617021200002</v>
          </cell>
          <cell r="BL68">
            <v>0</v>
          </cell>
          <cell r="BM68">
            <v>0</v>
          </cell>
          <cell r="BN68">
            <v>4.5100800000000003</v>
          </cell>
          <cell r="BO68">
            <v>2.3490000000000002</v>
          </cell>
          <cell r="BP68">
            <v>4.5100800000000003</v>
          </cell>
          <cell r="BQ68">
            <v>0</v>
          </cell>
          <cell r="BR68">
            <v>0</v>
          </cell>
          <cell r="BS68">
            <v>0.84564000000000006</v>
          </cell>
          <cell r="BT68">
            <v>0.56376000000000004</v>
          </cell>
          <cell r="BU68">
            <v>0.84564000000000006</v>
          </cell>
          <cell r="BV68">
            <v>0</v>
          </cell>
          <cell r="BW68">
            <v>0</v>
          </cell>
          <cell r="BX68" t="str">
            <v>不可以</v>
          </cell>
          <cell r="BY68" t="str">
            <v>不可以</v>
          </cell>
          <cell r="BZ68" t="str">
            <v>不可以</v>
          </cell>
          <cell r="CC68" t="str">
            <v>(1) 採用Schott製造的強化玻璃，堅固耐用。
(2) 火力強勁</v>
          </cell>
          <cell r="CD68" t="str">
            <v>不適用</v>
          </cell>
          <cell r="CE68" t="str">
            <v>一枚C型1.5V</v>
          </cell>
          <cell r="CF68" t="str">
            <v>爐底前方右角</v>
          </cell>
          <cell r="CG68" t="str">
            <v>黑色強化玻璃
白色強化玻璃</v>
          </cell>
          <cell r="CH68" t="str">
            <v>旋鈕式</v>
          </cell>
          <cell r="CI68" t="str">
            <v>旋鈕式</v>
          </cell>
          <cell r="CJ68" t="str">
            <v>雙環 x 2</v>
          </cell>
          <cell r="CK68" t="str">
            <v>單環</v>
          </cell>
          <cell r="CL68" t="str">
            <v>不適用</v>
          </cell>
          <cell r="CM68" t="str">
            <v>不適用</v>
          </cell>
          <cell r="CN68" t="str">
            <v>不適用</v>
          </cell>
          <cell r="CO68" t="str">
            <v>不適用</v>
          </cell>
          <cell r="CP68" t="str">
            <v>不適用</v>
          </cell>
          <cell r="CQ68" t="str">
            <v>不適用</v>
          </cell>
          <cell r="CR68" t="str">
            <v>圓形五邊承托架</v>
          </cell>
          <cell r="CS68" t="str">
            <v>請按此處</v>
          </cell>
          <cell r="CT68" t="str">
            <v>請按此處</v>
          </cell>
          <cell r="CU68" t="str">
            <v>請按此處</v>
          </cell>
          <cell r="CV68">
            <v>22</v>
          </cell>
          <cell r="CW68">
            <v>48.400000000000006</v>
          </cell>
          <cell r="CX68" t="str">
            <v>金色、銀色和黑色﹝陶瓷表面處理 Ceramic coated﹞的爐頭蓋，可供選擇。</v>
          </cell>
          <cell r="CY68" t="str">
            <v>氣喉接駁位置：爐底後方右角</v>
          </cell>
        </row>
        <row r="69">
          <cell r="A69" t="str">
            <v>RTB73E</v>
          </cell>
          <cell r="B69" t="str">
            <v>項目</v>
          </cell>
          <cell r="E69" t="str">
            <v>TGC</v>
          </cell>
          <cell r="F69" t="str">
            <v>RTB73-E</v>
          </cell>
          <cell r="M69" t="str">
            <v>台灣</v>
          </cell>
          <cell r="N69" t="str">
            <v>項目安裝</v>
          </cell>
          <cell r="O69" t="str">
            <v>請按此處</v>
          </cell>
          <cell r="P69">
            <v>55</v>
          </cell>
          <cell r="Q69">
            <v>2.1653543307086616</v>
          </cell>
          <cell r="R69">
            <v>65</v>
          </cell>
          <cell r="S69">
            <v>2.5590551181102366</v>
          </cell>
          <cell r="U69">
            <v>0</v>
          </cell>
          <cell r="V69">
            <v>750</v>
          </cell>
          <cell r="W69">
            <v>29.527559055118111</v>
          </cell>
          <cell r="X69">
            <v>450</v>
          </cell>
          <cell r="Y69">
            <v>17.716535433070867</v>
          </cell>
          <cell r="AA69">
            <v>0</v>
          </cell>
          <cell r="AC69" t="str">
            <v>703 x 403 (27.7" x 15.9")</v>
          </cell>
          <cell r="AD69">
            <v>3</v>
          </cell>
          <cell r="AE69" t="str">
            <v>左 (炒鑊)</v>
          </cell>
          <cell r="AF69" t="str">
            <v>中 (中爐)</v>
          </cell>
          <cell r="AG69" t="str">
            <v>右 (炒鑊)</v>
          </cell>
          <cell r="AJ69">
            <v>17.28</v>
          </cell>
          <cell r="AK69">
            <v>9.7200000000000006</v>
          </cell>
          <cell r="AL69">
            <v>17.28</v>
          </cell>
          <cell r="AM69">
            <v>0</v>
          </cell>
          <cell r="AN69">
            <v>0</v>
          </cell>
          <cell r="AO69">
            <v>0</v>
          </cell>
          <cell r="AP69">
            <v>0</v>
          </cell>
          <cell r="AQ69">
            <v>0</v>
          </cell>
          <cell r="AR69">
            <v>0</v>
          </cell>
          <cell r="AS69">
            <v>0</v>
          </cell>
          <cell r="AT69">
            <v>4.8</v>
          </cell>
          <cell r="AU69">
            <v>2.7</v>
          </cell>
          <cell r="AV69">
            <v>4.8</v>
          </cell>
          <cell r="BD69">
            <v>16396.595744639999</v>
          </cell>
          <cell r="BE69">
            <v>9223.0851063600003</v>
          </cell>
          <cell r="BF69">
            <v>16396.595744639999</v>
          </cell>
          <cell r="BG69">
            <v>0</v>
          </cell>
          <cell r="BH69">
            <v>0</v>
          </cell>
          <cell r="BI69">
            <v>0</v>
          </cell>
          <cell r="BJ69">
            <v>0</v>
          </cell>
          <cell r="BK69">
            <v>0</v>
          </cell>
          <cell r="BL69">
            <v>0</v>
          </cell>
          <cell r="BM69">
            <v>0</v>
          </cell>
          <cell r="BN69">
            <v>4.5100800000000003</v>
          </cell>
          <cell r="BO69">
            <v>2.5369200000000003</v>
          </cell>
          <cell r="BP69">
            <v>4.5100800000000003</v>
          </cell>
          <cell r="BQ69">
            <v>0</v>
          </cell>
          <cell r="BR69">
            <v>0</v>
          </cell>
          <cell r="BS69">
            <v>0</v>
          </cell>
          <cell r="BT69">
            <v>0</v>
          </cell>
          <cell r="BU69">
            <v>0</v>
          </cell>
          <cell r="BV69">
            <v>0</v>
          </cell>
          <cell r="BW69">
            <v>0</v>
          </cell>
          <cell r="BX69" t="str">
            <v>資料不詳</v>
          </cell>
          <cell r="BY69" t="str">
            <v>資料不詳</v>
          </cell>
          <cell r="BZ69" t="str">
            <v>資料不詳</v>
          </cell>
          <cell r="CC69" t="str">
            <v>(1) 火力特大。
(2) 爐頭蓋為坑糟式設計 (Slot Type)，不易堵塞，方便清潔；鍍鉻銅合金爐頭座 (Burner Base)，耐用不生銹。</v>
          </cell>
          <cell r="CD69" t="str">
            <v>不適用</v>
          </cell>
          <cell r="CE69" t="str">
            <v>一枚C型1.5V</v>
          </cell>
          <cell r="CF69" t="str">
            <v>爐底右前方</v>
          </cell>
          <cell r="CG69" t="str">
            <v>白色搪瓷</v>
          </cell>
          <cell r="CH69" t="str">
            <v>旋鈕式</v>
          </cell>
          <cell r="CI69" t="str">
            <v>旋鈕式</v>
          </cell>
          <cell r="CJ69" t="str">
            <v>雙環 x 2</v>
          </cell>
          <cell r="CK69" t="str">
            <v>單環</v>
          </cell>
          <cell r="CL69" t="str">
            <v>不適用</v>
          </cell>
          <cell r="CM69" t="str">
            <v>不適用</v>
          </cell>
          <cell r="CN69" t="str">
            <v>不適用</v>
          </cell>
          <cell r="CO69" t="str">
            <v>不適用</v>
          </cell>
          <cell r="CP69" t="str">
            <v>不適用</v>
          </cell>
          <cell r="CQ69" t="str">
            <v>不適用</v>
          </cell>
          <cell r="CR69" t="str">
            <v>圓形五邊承托架</v>
          </cell>
          <cell r="CS69" t="str">
            <v>請按此處</v>
          </cell>
          <cell r="CT69" t="str">
            <v>不適用</v>
          </cell>
          <cell r="CU69" t="str">
            <v>請按此處</v>
          </cell>
          <cell r="CW69">
            <v>0</v>
          </cell>
          <cell r="CX69"/>
        </row>
        <row r="70">
          <cell r="A70" t="str">
            <v>RB3NB</v>
          </cell>
          <cell r="B70" t="str">
            <v>停售</v>
          </cell>
          <cell r="E70" t="str">
            <v>TGC</v>
          </cell>
          <cell r="H70" t="str">
            <v>RB3NB</v>
          </cell>
          <cell r="I70" t="str">
            <v>操作資料</v>
          </cell>
          <cell r="K70" t="str">
            <v>2002年3月28日</v>
          </cell>
          <cell r="L70" t="str">
            <v>資料不詳</v>
          </cell>
          <cell r="M70" t="str">
            <v>日本</v>
          </cell>
          <cell r="N70" t="str">
            <v>已停售</v>
          </cell>
          <cell r="O70" t="str">
            <v>請按此處</v>
          </cell>
          <cell r="P70">
            <v>65</v>
          </cell>
          <cell r="Q70">
            <v>2.5590551181102366</v>
          </cell>
          <cell r="R70">
            <v>85</v>
          </cell>
          <cell r="S70">
            <v>3.3464566929133861</v>
          </cell>
          <cell r="T70">
            <v>143</v>
          </cell>
          <cell r="U70">
            <v>5.6299212598425203</v>
          </cell>
          <cell r="V70">
            <v>757</v>
          </cell>
          <cell r="W70">
            <v>29.803149606299215</v>
          </cell>
          <cell r="X70">
            <v>472</v>
          </cell>
          <cell r="Y70">
            <v>18.582677165354333</v>
          </cell>
          <cell r="AA70">
            <v>0</v>
          </cell>
          <cell r="AC70" t="str">
            <v>703 x 403 (27.7" x 15.9")</v>
          </cell>
          <cell r="AD70">
            <v>3</v>
          </cell>
          <cell r="AE70" t="str">
            <v>左 (炒鑊)</v>
          </cell>
          <cell r="AF70" t="str">
            <v>中 (中爐)</v>
          </cell>
          <cell r="AG70" t="str">
            <v>右 (炒鑊)</v>
          </cell>
          <cell r="AJ70">
            <v>17.28</v>
          </cell>
          <cell r="AK70">
            <v>9.7200000000000006</v>
          </cell>
          <cell r="AL70">
            <v>17.28</v>
          </cell>
          <cell r="AM70">
            <v>0</v>
          </cell>
          <cell r="AN70">
            <v>0</v>
          </cell>
          <cell r="AO70">
            <v>1.2240000000000002</v>
          </cell>
          <cell r="AP70">
            <v>0</v>
          </cell>
          <cell r="AQ70">
            <v>1.2240000000000002</v>
          </cell>
          <cell r="AR70">
            <v>0</v>
          </cell>
          <cell r="AS70">
            <v>0</v>
          </cell>
          <cell r="AT70">
            <v>4.8</v>
          </cell>
          <cell r="AU70">
            <v>2.7</v>
          </cell>
          <cell r="AV70">
            <v>4.8</v>
          </cell>
          <cell r="AY70">
            <v>0.34</v>
          </cell>
          <cell r="BA70">
            <v>0.34</v>
          </cell>
          <cell r="BD70">
            <v>16396.595744639999</v>
          </cell>
          <cell r="BE70">
            <v>9223.0851063600003</v>
          </cell>
          <cell r="BF70">
            <v>16396.595744639999</v>
          </cell>
          <cell r="BG70">
            <v>0</v>
          </cell>
          <cell r="BH70">
            <v>0</v>
          </cell>
          <cell r="BI70">
            <v>1161.425531912</v>
          </cell>
          <cell r="BJ70">
            <v>0</v>
          </cell>
          <cell r="BK70">
            <v>1161.425531912</v>
          </cell>
          <cell r="BL70">
            <v>0</v>
          </cell>
          <cell r="BM70">
            <v>0</v>
          </cell>
          <cell r="BN70">
            <v>4.5100800000000003</v>
          </cell>
          <cell r="BO70">
            <v>2.5369200000000003</v>
          </cell>
          <cell r="BP70">
            <v>4.5100800000000003</v>
          </cell>
          <cell r="BQ70">
            <v>0</v>
          </cell>
          <cell r="BR70">
            <v>0</v>
          </cell>
          <cell r="BS70">
            <v>0.31946400000000008</v>
          </cell>
          <cell r="BT70">
            <v>0</v>
          </cell>
          <cell r="BU70">
            <v>0.31946400000000008</v>
          </cell>
          <cell r="BV70">
            <v>0</v>
          </cell>
          <cell r="BW70">
            <v>0</v>
          </cell>
          <cell r="BX70" t="str">
            <v>可以</v>
          </cell>
          <cell r="BY70" t="str">
            <v>可以</v>
          </cell>
          <cell r="BZ70" t="str">
            <v>可以</v>
          </cell>
          <cell r="CC70" t="str">
            <v>爐頭蓋分別有拋光金色及鍍鉻銀色，配合同色的特硬“Teflon”金屬爐面，清潔容易及耐用。</v>
          </cell>
          <cell r="CD70" t="str">
            <v>不適用</v>
          </cell>
          <cell r="CE70" t="str">
            <v>兩枚D型1.5V</v>
          </cell>
          <cell r="CF70" t="str">
            <v>爐底中央</v>
          </cell>
          <cell r="CG70" t="str">
            <v>金色易潔面 (已停售)
銀色易潔面</v>
          </cell>
          <cell r="CH70" t="str">
            <v>旋鈕式</v>
          </cell>
          <cell r="CI70" t="str">
            <v>旋鈕式</v>
          </cell>
          <cell r="CJ70" t="str">
            <v>雙環 x 2</v>
          </cell>
          <cell r="CK70" t="str">
            <v>單環</v>
          </cell>
          <cell r="CL70" t="str">
            <v>不適用</v>
          </cell>
          <cell r="CM70" t="str">
            <v>不適用</v>
          </cell>
          <cell r="CN70" t="str">
            <v>不適用</v>
          </cell>
          <cell r="CO70" t="str">
            <v>不適用</v>
          </cell>
          <cell r="CP70" t="str">
            <v>不適用</v>
          </cell>
          <cell r="CQ70" t="str">
            <v>不適用</v>
          </cell>
          <cell r="CR70" t="str">
            <v>圓形五邊承托架</v>
          </cell>
          <cell r="CS70" t="str">
            <v>請按此處</v>
          </cell>
          <cell r="CT70" t="str">
            <v>不適用</v>
          </cell>
          <cell r="CU70" t="str">
            <v>請按此處</v>
          </cell>
          <cell r="CV70">
            <v>14</v>
          </cell>
          <cell r="CW70">
            <v>30.800000000000004</v>
          </cell>
          <cell r="CX70"/>
          <cell r="CY70" t="str">
            <v>氣喉接駁位置：爐底後方右角</v>
          </cell>
        </row>
        <row r="71">
          <cell r="A71" t="str">
            <v>RB603GB</v>
          </cell>
          <cell r="B71" t="str">
            <v>停售</v>
          </cell>
          <cell r="E71" t="str">
            <v>TGC</v>
          </cell>
          <cell r="F71" t="str">
            <v>RB603GB - 電池打火</v>
          </cell>
          <cell r="I71" t="str">
            <v>操作資料</v>
          </cell>
          <cell r="J71" t="str">
            <v>爐架適配器</v>
          </cell>
          <cell r="K71" t="str">
            <v>2002年4月8日</v>
          </cell>
          <cell r="L71" t="str">
            <v>2011年6月8日</v>
          </cell>
          <cell r="M71" t="str">
            <v>台灣</v>
          </cell>
          <cell r="N71" t="str">
            <v>已停售</v>
          </cell>
          <cell r="O71" t="str">
            <v>請按此處</v>
          </cell>
          <cell r="P71">
            <v>55</v>
          </cell>
          <cell r="Q71">
            <v>2.1653543307086616</v>
          </cell>
          <cell r="R71">
            <v>63</v>
          </cell>
          <cell r="S71">
            <v>2.4803149606299213</v>
          </cell>
          <cell r="U71">
            <v>0</v>
          </cell>
          <cell r="V71">
            <v>640</v>
          </cell>
          <cell r="W71">
            <v>25.196850393700789</v>
          </cell>
          <cell r="X71">
            <v>510</v>
          </cell>
          <cell r="Y71">
            <v>20.078740157480315</v>
          </cell>
          <cell r="Z71">
            <v>310</v>
          </cell>
          <cell r="AA71">
            <v>12.20472440944882</v>
          </cell>
          <cell r="AC71" t="str">
            <v>555 x 475 (21.9" x 18.7")</v>
          </cell>
          <cell r="AD71">
            <v>3</v>
          </cell>
          <cell r="AE71" t="str">
            <v>左上 (中爐)</v>
          </cell>
          <cell r="AF71" t="str">
            <v>左下 (中爐)</v>
          </cell>
          <cell r="AG71" t="str">
            <v>右 (炒鑊)</v>
          </cell>
          <cell r="AJ71">
            <v>9.7200000000000006</v>
          </cell>
          <cell r="AK71">
            <v>9.7200000000000006</v>
          </cell>
          <cell r="AL71">
            <v>17.28</v>
          </cell>
          <cell r="AM71">
            <v>0</v>
          </cell>
          <cell r="AN71">
            <v>0</v>
          </cell>
          <cell r="AO71">
            <v>2.16</v>
          </cell>
          <cell r="AP71">
            <v>2.16</v>
          </cell>
          <cell r="AQ71">
            <v>3.24</v>
          </cell>
          <cell r="AR71">
            <v>0</v>
          </cell>
          <cell r="AS71">
            <v>0</v>
          </cell>
          <cell r="AT71">
            <v>2.7</v>
          </cell>
          <cell r="AU71">
            <v>2.7</v>
          </cell>
          <cell r="AV71">
            <v>4.8</v>
          </cell>
          <cell r="AY71">
            <v>0.6</v>
          </cell>
          <cell r="AZ71">
            <v>0.6</v>
          </cell>
          <cell r="BA71">
            <v>0.9</v>
          </cell>
          <cell r="BD71">
            <v>9223.0851063600003</v>
          </cell>
          <cell r="BE71">
            <v>9223.0851063600003</v>
          </cell>
          <cell r="BF71">
            <v>16396.595744639999</v>
          </cell>
          <cell r="BG71">
            <v>0</v>
          </cell>
          <cell r="BH71">
            <v>0</v>
          </cell>
          <cell r="BI71">
            <v>2049.5744680799999</v>
          </cell>
          <cell r="BJ71">
            <v>2049.5744680799999</v>
          </cell>
          <cell r="BK71">
            <v>3074.3617021200002</v>
          </cell>
          <cell r="BL71">
            <v>0</v>
          </cell>
          <cell r="BM71">
            <v>0</v>
          </cell>
          <cell r="BN71">
            <v>2.5369200000000003</v>
          </cell>
          <cell r="BO71">
            <v>2.5369200000000003</v>
          </cell>
          <cell r="BP71">
            <v>4.5100800000000003</v>
          </cell>
          <cell r="BQ71">
            <v>0</v>
          </cell>
          <cell r="BR71">
            <v>0</v>
          </cell>
          <cell r="BS71">
            <v>0.56376000000000004</v>
          </cell>
          <cell r="BT71">
            <v>0.56376000000000004</v>
          </cell>
          <cell r="BU71">
            <v>0.84564000000000006</v>
          </cell>
          <cell r="BV71">
            <v>0</v>
          </cell>
          <cell r="BW71">
            <v>0</v>
          </cell>
          <cell r="BX71" t="str">
            <v>不可以</v>
          </cell>
          <cell r="BY71" t="str">
            <v>不可以</v>
          </cell>
          <cell r="BZ71" t="str">
            <v>不可以</v>
          </cell>
          <cell r="CC71" t="str">
            <v>採用澳洲製造強化玻璃，堅固耐用，玻璃面兩邊成弧形。</v>
          </cell>
          <cell r="CD71" t="str">
            <v>不適用</v>
          </cell>
          <cell r="CE71" t="str">
            <v>一枚C型1.5V</v>
          </cell>
          <cell r="CF71" t="str">
            <v>爐底左前方</v>
          </cell>
          <cell r="CG71" t="str">
            <v>黑色強化玻璃
白色強化玻璃</v>
          </cell>
          <cell r="CH71" t="str">
            <v>旋鈕式</v>
          </cell>
          <cell r="CI71" t="str">
            <v>旋鈕式</v>
          </cell>
          <cell r="CJ71" t="str">
            <v>雙環</v>
          </cell>
          <cell r="CK71" t="str">
            <v>單環</v>
          </cell>
          <cell r="CL71" t="str">
            <v>單環</v>
          </cell>
          <cell r="CM71" t="str">
            <v>不適用</v>
          </cell>
          <cell r="CN71" t="str">
            <v>不適用</v>
          </cell>
          <cell r="CO71" t="str">
            <v>不適用</v>
          </cell>
          <cell r="CP71" t="str">
            <v>不適用</v>
          </cell>
          <cell r="CQ71" t="str">
            <v>不適用</v>
          </cell>
          <cell r="CR71" t="str">
            <v>圓形五邊承托架</v>
          </cell>
          <cell r="CS71" t="str">
            <v>請按此處</v>
          </cell>
          <cell r="CT71" t="str">
            <v>不適用</v>
          </cell>
          <cell r="CU71" t="str">
            <v>請按此處</v>
          </cell>
          <cell r="CV71">
            <v>20</v>
          </cell>
          <cell r="CW71">
            <v>44</v>
          </cell>
          <cell r="CX71" t="str">
            <v>爐頭蓋有金色﹝拋光銅合金﹞、銀色﹝鍍鉻銅合金 Chromium plated﹞黑色﹝陶瓷表面處理 ceramic coated﹞。
白色玻璃面配金色爐頭停售 (只限交流電) 及 所有款式之銀色爐頭停售。</v>
          </cell>
          <cell r="CY71" t="str">
            <v>氣喉接駁位置：爐底後方右角</v>
          </cell>
        </row>
        <row r="72">
          <cell r="A72" t="str">
            <v>RB603GA</v>
          </cell>
          <cell r="B72" t="str">
            <v>停售</v>
          </cell>
          <cell r="E72" t="str">
            <v>TGC</v>
          </cell>
          <cell r="G72" t="str">
            <v>RB603GA - 交流電打火</v>
          </cell>
          <cell r="I72" t="str">
            <v>操作資料</v>
          </cell>
          <cell r="J72" t="str">
            <v>爐架適配器</v>
          </cell>
          <cell r="K72" t="str">
            <v>2002年4月8日</v>
          </cell>
          <cell r="L72" t="str">
            <v>2002年6月8日</v>
          </cell>
          <cell r="M72" t="str">
            <v>台灣</v>
          </cell>
          <cell r="N72" t="str">
            <v>已停售</v>
          </cell>
          <cell r="O72" t="str">
            <v>請按此處</v>
          </cell>
          <cell r="P72">
            <v>55</v>
          </cell>
          <cell r="Q72">
            <v>2.1653543307086616</v>
          </cell>
          <cell r="R72">
            <v>63</v>
          </cell>
          <cell r="S72">
            <v>2.4803149606299213</v>
          </cell>
          <cell r="U72">
            <v>0</v>
          </cell>
          <cell r="V72">
            <v>640</v>
          </cell>
          <cell r="W72">
            <v>25.196850393700789</v>
          </cell>
          <cell r="X72">
            <v>510</v>
          </cell>
          <cell r="Y72">
            <v>20.078740157480315</v>
          </cell>
          <cell r="Z72">
            <v>310</v>
          </cell>
          <cell r="AA72">
            <v>12.20472440944882</v>
          </cell>
          <cell r="AC72" t="str">
            <v>555 x 475 (21.9" x 18.7")</v>
          </cell>
          <cell r="AD72">
            <v>3</v>
          </cell>
          <cell r="AE72" t="str">
            <v>左上 (中爐)</v>
          </cell>
          <cell r="AF72" t="str">
            <v>左下 (中爐)</v>
          </cell>
          <cell r="AG72" t="str">
            <v>右 (炒鑊)</v>
          </cell>
          <cell r="AJ72">
            <v>9.7200000000000006</v>
          </cell>
          <cell r="AK72">
            <v>9.7200000000000006</v>
          </cell>
          <cell r="AL72">
            <v>17.28</v>
          </cell>
          <cell r="AM72">
            <v>0</v>
          </cell>
          <cell r="AN72">
            <v>0</v>
          </cell>
          <cell r="AO72">
            <v>2.16</v>
          </cell>
          <cell r="AP72">
            <v>2.16</v>
          </cell>
          <cell r="AQ72">
            <v>3.24</v>
          </cell>
          <cell r="AR72">
            <v>0</v>
          </cell>
          <cell r="AS72">
            <v>0</v>
          </cell>
          <cell r="AT72">
            <v>2.7</v>
          </cell>
          <cell r="AU72">
            <v>2.7</v>
          </cell>
          <cell r="AV72">
            <v>4.8</v>
          </cell>
          <cell r="AY72">
            <v>0.6</v>
          </cell>
          <cell r="AZ72">
            <v>0.6</v>
          </cell>
          <cell r="BA72">
            <v>0.9</v>
          </cell>
          <cell r="BD72">
            <v>9223.0851063600003</v>
          </cell>
          <cell r="BE72">
            <v>9223.0851063600003</v>
          </cell>
          <cell r="BF72">
            <v>16396.595744639999</v>
          </cell>
          <cell r="BG72">
            <v>0</v>
          </cell>
          <cell r="BH72">
            <v>0</v>
          </cell>
          <cell r="BI72">
            <v>2049.5744680799999</v>
          </cell>
          <cell r="BJ72">
            <v>2049.5744680799999</v>
          </cell>
          <cell r="BK72">
            <v>3074.3617021200002</v>
          </cell>
          <cell r="BL72">
            <v>0</v>
          </cell>
          <cell r="BM72">
            <v>0</v>
          </cell>
          <cell r="BN72">
            <v>2.5369200000000003</v>
          </cell>
          <cell r="BO72">
            <v>2.5369200000000003</v>
          </cell>
          <cell r="BP72">
            <v>4.5100800000000003</v>
          </cell>
          <cell r="BQ72">
            <v>0</v>
          </cell>
          <cell r="BR72">
            <v>0</v>
          </cell>
          <cell r="BS72">
            <v>0.56376000000000004</v>
          </cell>
          <cell r="BT72">
            <v>0.56376000000000004</v>
          </cell>
          <cell r="BU72">
            <v>0.84564000000000006</v>
          </cell>
          <cell r="BV72">
            <v>0</v>
          </cell>
          <cell r="BW72">
            <v>0</v>
          </cell>
          <cell r="BX72" t="str">
            <v>不可以</v>
          </cell>
          <cell r="BY72" t="str">
            <v>不可以</v>
          </cell>
          <cell r="BZ72" t="str">
            <v>不可以</v>
          </cell>
          <cell r="CC72" t="str">
            <v>採用澳洲製造強化玻璃，堅固耐用，玻璃面兩邊成弧形。</v>
          </cell>
          <cell r="CD72" t="str">
            <v>220V,13A</v>
          </cell>
          <cell r="CE72" t="str">
            <v>不適用</v>
          </cell>
          <cell r="CF72" t="str">
            <v>爐底左前方</v>
          </cell>
          <cell r="CG72" t="str">
            <v>黑色強化玻璃
白色強化玻璃</v>
          </cell>
          <cell r="CH72" t="str">
            <v>旋鈕式</v>
          </cell>
          <cell r="CI72" t="str">
            <v>旋鈕式</v>
          </cell>
          <cell r="CJ72" t="str">
            <v>雙環</v>
          </cell>
          <cell r="CK72" t="str">
            <v>單環</v>
          </cell>
          <cell r="CL72" t="str">
            <v>單環</v>
          </cell>
          <cell r="CM72" t="str">
            <v>不適用</v>
          </cell>
          <cell r="CN72" t="str">
            <v>不適用</v>
          </cell>
          <cell r="CO72" t="str">
            <v>不適用</v>
          </cell>
          <cell r="CP72" t="str">
            <v>不適用</v>
          </cell>
          <cell r="CQ72" t="str">
            <v>不適用</v>
          </cell>
          <cell r="CR72" t="str">
            <v>圓形五邊承托架</v>
          </cell>
          <cell r="CS72" t="str">
            <v>請按此處</v>
          </cell>
          <cell r="CT72" t="str">
            <v>不適用</v>
          </cell>
          <cell r="CU72" t="str">
            <v>請按此處</v>
          </cell>
          <cell r="CV72">
            <v>20</v>
          </cell>
          <cell r="CW72">
            <v>44</v>
          </cell>
          <cell r="CX72" t="str">
            <v>爐頭蓋有金色﹝拋光銅合金﹞、銀色﹝鍍鉻銅合金 Chromium plated﹞黑色﹝陶瓷表面處理 ceramic coated﹞。
白色玻璃面配金色爐頭停售 (只限交流電) 及 所有款式之銀色爐頭停售。</v>
          </cell>
          <cell r="CY72" t="str">
            <v>氣喉接駁位置：爐底後方右角</v>
          </cell>
        </row>
        <row r="73">
          <cell r="A73" t="str">
            <v>RB3RB</v>
          </cell>
          <cell r="B73" t="str">
            <v>停售</v>
          </cell>
          <cell r="E73" t="str">
            <v>TGC</v>
          </cell>
          <cell r="F73" t="str">
            <v>RB3RB</v>
          </cell>
          <cell r="H73" t="str">
            <v>RB3RB</v>
          </cell>
          <cell r="I73" t="str">
            <v>操作資料</v>
          </cell>
          <cell r="J73" t="str">
            <v>說明書</v>
          </cell>
          <cell r="K73" t="str">
            <v>2001年12月13日</v>
          </cell>
          <cell r="L73" t="str">
            <v>2017年9月13日</v>
          </cell>
          <cell r="M73" t="str">
            <v>日本</v>
          </cell>
          <cell r="N73" t="str">
            <v>已停售</v>
          </cell>
          <cell r="O73" t="str">
            <v>請按此處</v>
          </cell>
          <cell r="P73">
            <v>140</v>
          </cell>
          <cell r="Q73">
            <v>5.5118110236220472</v>
          </cell>
          <cell r="R73">
            <v>160</v>
          </cell>
          <cell r="S73">
            <v>6.2992125984251972</v>
          </cell>
          <cell r="T73">
            <v>218</v>
          </cell>
          <cell r="U73">
            <v>8.5826771653543314</v>
          </cell>
          <cell r="V73">
            <v>757</v>
          </cell>
          <cell r="W73">
            <v>29.803149606299215</v>
          </cell>
          <cell r="X73">
            <v>472</v>
          </cell>
          <cell r="Y73">
            <v>18.582677165354333</v>
          </cell>
          <cell r="Z73">
            <v>470</v>
          </cell>
          <cell r="AA73">
            <v>18.503937007874018</v>
          </cell>
          <cell r="AC73" t="str">
            <v>703 x 403 (27.7" x 15.9")</v>
          </cell>
          <cell r="AD73">
            <v>3</v>
          </cell>
          <cell r="AE73" t="str">
            <v>左</v>
          </cell>
          <cell r="AF73" t="str">
            <v>煮飯</v>
          </cell>
          <cell r="AG73" t="str">
            <v>右</v>
          </cell>
          <cell r="AJ73">
            <v>17.28</v>
          </cell>
          <cell r="AK73">
            <v>3.6</v>
          </cell>
          <cell r="AL73">
            <v>17.28</v>
          </cell>
          <cell r="AM73">
            <v>0</v>
          </cell>
          <cell r="AN73">
            <v>0</v>
          </cell>
          <cell r="AO73">
            <v>1.08</v>
          </cell>
          <cell r="AP73">
            <v>0</v>
          </cell>
          <cell r="AQ73">
            <v>1.08</v>
          </cell>
          <cell r="AR73">
            <v>0</v>
          </cell>
          <cell r="AS73">
            <v>0</v>
          </cell>
          <cell r="AT73">
            <v>4.8</v>
          </cell>
          <cell r="AU73">
            <v>1</v>
          </cell>
          <cell r="AV73">
            <v>4.8</v>
          </cell>
          <cell r="AY73">
            <v>0.3</v>
          </cell>
          <cell r="AZ73">
            <v>0</v>
          </cell>
          <cell r="BA73">
            <v>0.3</v>
          </cell>
          <cell r="BD73">
            <v>16396.595744639999</v>
          </cell>
          <cell r="BE73">
            <v>3415.9574468000001</v>
          </cell>
          <cell r="BF73">
            <v>16396.595744639999</v>
          </cell>
          <cell r="BG73">
            <v>0</v>
          </cell>
          <cell r="BH73">
            <v>0</v>
          </cell>
          <cell r="BI73">
            <v>1024.7872340399999</v>
          </cell>
          <cell r="BJ73">
            <v>0</v>
          </cell>
          <cell r="BK73">
            <v>1024.7872340399999</v>
          </cell>
          <cell r="BL73">
            <v>0</v>
          </cell>
          <cell r="BM73">
            <v>0</v>
          </cell>
          <cell r="BN73">
            <v>4.5100800000000003</v>
          </cell>
          <cell r="BO73">
            <v>0.9396000000000001</v>
          </cell>
          <cell r="BP73">
            <v>4.5100800000000003</v>
          </cell>
          <cell r="BQ73">
            <v>0</v>
          </cell>
          <cell r="BR73">
            <v>0</v>
          </cell>
          <cell r="BS73">
            <v>0.28188000000000002</v>
          </cell>
          <cell r="BT73">
            <v>0</v>
          </cell>
          <cell r="BU73">
            <v>0.28188000000000002</v>
          </cell>
          <cell r="BV73">
            <v>0</v>
          </cell>
          <cell r="BW73">
            <v>0</v>
          </cell>
          <cell r="BX73" t="str">
            <v>可以</v>
          </cell>
          <cell r="BY73" t="str">
            <v>不適用</v>
          </cell>
          <cell r="BZ73" t="str">
            <v>可以</v>
          </cell>
          <cell r="CC73" t="str">
            <v>內置煮飯爐頭，可煮多至十二碗白飯，袛需廿分鐘，飯熟自動熄火。頂揭面蓋設計，方便提取飯煲。</v>
          </cell>
          <cell r="CD73" t="str">
            <v>不適用</v>
          </cell>
          <cell r="CE73" t="str">
            <v>兩枚D型1.5V</v>
          </cell>
          <cell r="CF73" t="str">
            <v>爐底左前方</v>
          </cell>
          <cell r="CG73" t="str">
            <v>金色易潔面
銀色易潔面</v>
          </cell>
          <cell r="CH73" t="str">
            <v>旋鈕式</v>
          </cell>
          <cell r="CI73" t="str">
            <v>旋鈕式</v>
          </cell>
          <cell r="CJ73" t="str">
            <v>雙環 x 2</v>
          </cell>
          <cell r="CK73" t="str">
            <v>不適用</v>
          </cell>
          <cell r="CL73" t="str">
            <v>不適用</v>
          </cell>
          <cell r="CM73" t="str">
            <v>不適用</v>
          </cell>
          <cell r="CN73" t="str">
            <v>不適用</v>
          </cell>
          <cell r="CO73" t="str">
            <v>不適用</v>
          </cell>
          <cell r="CP73" t="str">
            <v>單環</v>
          </cell>
          <cell r="CQ73" t="str">
            <v>不適用</v>
          </cell>
          <cell r="CR73" t="str">
            <v>圓形五邊承托架</v>
          </cell>
          <cell r="CS73" t="str">
            <v>請按此處</v>
          </cell>
          <cell r="CT73" t="str">
            <v>請按此處</v>
          </cell>
          <cell r="CU73" t="str">
            <v>請按此處</v>
          </cell>
          <cell r="CV73">
            <v>20</v>
          </cell>
          <cell r="CW73">
            <v>44</v>
          </cell>
          <cell r="CX73" t="str">
            <v>爐頭蓋分別有拋光金色及鍍鉻銀色，配合同色的特硬“Teflon”金屬爐面。</v>
          </cell>
          <cell r="CY73" t="str">
            <v>氣喉接駁位置：爐底後方右角</v>
          </cell>
        </row>
        <row r="74">
          <cell r="A74" t="str">
            <v>TRJB73P-A-B</v>
          </cell>
          <cell r="B74" t="str">
            <v>停售</v>
          </cell>
          <cell r="E74" t="str">
            <v>TGC</v>
          </cell>
          <cell r="H74" t="str">
            <v>TRJB73P-A-B (超炎火)</v>
          </cell>
          <cell r="I74" t="str">
            <v>操作資料</v>
          </cell>
          <cell r="K74" t="str">
            <v>2005年12月2日</v>
          </cell>
          <cell r="L74" t="str">
            <v>2012年3月5日</v>
          </cell>
          <cell r="M74" t="str">
            <v>日本</v>
          </cell>
          <cell r="N74" t="str">
            <v>已停售</v>
          </cell>
          <cell r="O74" t="str">
            <v>請按此處</v>
          </cell>
          <cell r="P74">
            <v>55</v>
          </cell>
          <cell r="Q74">
            <v>2.1653543307086616</v>
          </cell>
          <cell r="R74">
            <v>64</v>
          </cell>
          <cell r="S74">
            <v>2.5196850393700787</v>
          </cell>
          <cell r="T74">
            <v>122</v>
          </cell>
          <cell r="U74">
            <v>4.8031496062992129</v>
          </cell>
          <cell r="V74">
            <v>800</v>
          </cell>
          <cell r="W74">
            <v>31.496062992125985</v>
          </cell>
          <cell r="X74">
            <v>450</v>
          </cell>
          <cell r="Y74">
            <v>17.716535433070867</v>
          </cell>
          <cell r="Z74">
            <v>260</v>
          </cell>
          <cell r="AA74">
            <v>10.236220472440946</v>
          </cell>
          <cell r="AC74" t="str">
            <v>703 x 403 (27.7" x 15.9")</v>
          </cell>
          <cell r="AD74">
            <v>3</v>
          </cell>
          <cell r="AE74" t="str">
            <v>左 (炒鑊)</v>
          </cell>
          <cell r="AF74" t="str">
            <v>中 (中爐)</v>
          </cell>
          <cell r="AG74" t="str">
            <v>右 (炒鑊)</v>
          </cell>
          <cell r="AJ74">
            <v>18</v>
          </cell>
          <cell r="AK74">
            <v>9.7200000000000006</v>
          </cell>
          <cell r="AL74">
            <v>18</v>
          </cell>
          <cell r="AM74">
            <v>0</v>
          </cell>
          <cell r="AN74">
            <v>0</v>
          </cell>
          <cell r="AO74">
            <v>3.24</v>
          </cell>
          <cell r="AP74">
            <v>2.16</v>
          </cell>
          <cell r="AQ74">
            <v>3.24</v>
          </cell>
          <cell r="AR74">
            <v>0</v>
          </cell>
          <cell r="AS74">
            <v>0</v>
          </cell>
          <cell r="AT74">
            <v>5</v>
          </cell>
          <cell r="AU74">
            <v>2.7</v>
          </cell>
          <cell r="AV74">
            <v>5</v>
          </cell>
          <cell r="AY74">
            <v>0.9</v>
          </cell>
          <cell r="AZ74">
            <v>0.6</v>
          </cell>
          <cell r="BA74">
            <v>0.9</v>
          </cell>
          <cell r="BD74">
            <v>17079.787233999999</v>
          </cell>
          <cell r="BE74">
            <v>9223.0851063600003</v>
          </cell>
          <cell r="BF74">
            <v>17079.787233999999</v>
          </cell>
          <cell r="BG74">
            <v>0</v>
          </cell>
          <cell r="BH74">
            <v>0</v>
          </cell>
          <cell r="BI74">
            <v>3074.3617021200002</v>
          </cell>
          <cell r="BJ74">
            <v>2049.5744680799999</v>
          </cell>
          <cell r="BK74">
            <v>3074.3617021200002</v>
          </cell>
          <cell r="BL74">
            <v>0</v>
          </cell>
          <cell r="BM74">
            <v>0</v>
          </cell>
          <cell r="BN74">
            <v>4.6980000000000004</v>
          </cell>
          <cell r="BO74">
            <v>2.5369200000000003</v>
          </cell>
          <cell r="BP74">
            <v>4.6980000000000004</v>
          </cell>
          <cell r="BQ74">
            <v>0</v>
          </cell>
          <cell r="BR74">
            <v>0</v>
          </cell>
          <cell r="BS74">
            <v>0.84564000000000006</v>
          </cell>
          <cell r="BT74">
            <v>0.56376000000000004</v>
          </cell>
          <cell r="BU74">
            <v>0.84564000000000006</v>
          </cell>
          <cell r="BV74">
            <v>0</v>
          </cell>
          <cell r="BW74">
            <v>0</v>
          </cell>
          <cell r="BX74" t="str">
            <v>不可以</v>
          </cell>
          <cell r="BY74" t="str">
            <v>不可以</v>
          </cell>
          <cell r="BZ74" t="str">
            <v>不可以</v>
          </cell>
          <cell r="CC74" t="str">
            <v>爐頭特別為配合中式圓底鑊而設計，內環為旋風式內炎火，配合外環垂直炎孔，熱力均勻散佈煮食器具。
將爐頭的氣孔置於爐頭的周邊，亦令清潔更容易。當食物溢流，由於超炎火爐頭中心為密封設計並向外圍微微傾斜，溢出物會經周邊的氣孔順流到爐碟上，而不會直進爐頭內部。</v>
          </cell>
          <cell r="CD74" t="str">
            <v>不適用</v>
          </cell>
          <cell r="CE74" t="str">
            <v>一枚C型1.5V</v>
          </cell>
          <cell r="CF74" t="str">
            <v>爐底右前方</v>
          </cell>
          <cell r="CG74" t="str">
            <v>黑色鋁合金
金色鋁合金
銀色鋁合金</v>
          </cell>
          <cell r="CH74" t="str">
            <v>旋鈕式</v>
          </cell>
          <cell r="CI74" t="str">
            <v>無段旋鈕式</v>
          </cell>
          <cell r="CJ74" t="str">
            <v>單環 x 2</v>
          </cell>
          <cell r="CK74" t="str">
            <v>單環</v>
          </cell>
          <cell r="CL74" t="str">
            <v>不適用</v>
          </cell>
          <cell r="CM74" t="str">
            <v>不適用</v>
          </cell>
          <cell r="CN74" t="str">
            <v>不適用</v>
          </cell>
          <cell r="CO74" t="str">
            <v>不適用</v>
          </cell>
          <cell r="CP74" t="str">
            <v>不適用</v>
          </cell>
          <cell r="CQ74" t="str">
            <v>不適用</v>
          </cell>
          <cell r="CR74" t="str">
            <v>圓形五邊承托架</v>
          </cell>
          <cell r="CS74" t="str">
            <v>請按此處</v>
          </cell>
          <cell r="CT74" t="str">
            <v>請按此處</v>
          </cell>
          <cell r="CU74" t="str">
            <v>請按此處</v>
          </cell>
          <cell r="CV74">
            <v>16</v>
          </cell>
          <cell r="CW74">
            <v>35.200000000000003</v>
          </cell>
          <cell r="CX74" t="str">
            <v>超炎火鋁合金，若用強力的清潔濟清洗，日久會退色，其原色仍是鋁合金的灰色，但沒有光澤較暗。</v>
          </cell>
          <cell r="CY74" t="str">
            <v>氣喉接駁位置：爐底後方右角</v>
          </cell>
        </row>
        <row r="75">
          <cell r="A75" t="str">
            <v>TRJB33P-C-B</v>
          </cell>
          <cell r="B75" t="str">
            <v>停售</v>
          </cell>
          <cell r="E75" t="str">
            <v>TGC</v>
          </cell>
          <cell r="F75" t="str">
            <v>TRJB33P-C-B (超炎火)</v>
          </cell>
          <cell r="G75" t="str">
            <v>TRJB33P-C-B (超炎火)</v>
          </cell>
          <cell r="K75" t="str">
            <v>2007年5月18日</v>
          </cell>
          <cell r="L75" t="str">
            <v>2010年3月9日</v>
          </cell>
          <cell r="M75" t="str">
            <v>日本</v>
          </cell>
          <cell r="N75" t="str">
            <v>已停售</v>
          </cell>
          <cell r="O75" t="str">
            <v>請按此處</v>
          </cell>
          <cell r="P75">
            <v>54</v>
          </cell>
          <cell r="Q75">
            <v>2.1259842519685042</v>
          </cell>
          <cell r="R75">
            <v>66</v>
          </cell>
          <cell r="S75">
            <v>2.598425196850394</v>
          </cell>
          <cell r="U75">
            <v>0</v>
          </cell>
          <cell r="V75">
            <v>852</v>
          </cell>
          <cell r="W75">
            <v>33.543307086614178</v>
          </cell>
          <cell r="X75">
            <v>438</v>
          </cell>
          <cell r="Y75">
            <v>17.244094488188978</v>
          </cell>
          <cell r="Z75">
            <v>295</v>
          </cell>
          <cell r="AA75">
            <v>11.614173228346457</v>
          </cell>
          <cell r="AC75" t="str">
            <v>815 x 405 (32.1" x 15.9")</v>
          </cell>
          <cell r="AD75">
            <v>3</v>
          </cell>
          <cell r="AE75" t="str">
            <v>左 (炒鑊)</v>
          </cell>
          <cell r="AF75" t="str">
            <v>中 (中爐)</v>
          </cell>
          <cell r="AG75" t="str">
            <v>右 (炒鑊)</v>
          </cell>
          <cell r="AJ75">
            <v>18.720000000000002</v>
          </cell>
          <cell r="AK75">
            <v>9.7200000000000006</v>
          </cell>
          <cell r="AL75">
            <v>18.720000000000002</v>
          </cell>
          <cell r="AM75">
            <v>0</v>
          </cell>
          <cell r="AN75">
            <v>0</v>
          </cell>
          <cell r="AO75">
            <v>3.24</v>
          </cell>
          <cell r="AP75">
            <v>2.16</v>
          </cell>
          <cell r="AQ75">
            <v>3.24</v>
          </cell>
          <cell r="AR75">
            <v>0</v>
          </cell>
          <cell r="AS75">
            <v>0</v>
          </cell>
          <cell r="AT75">
            <v>5.2</v>
          </cell>
          <cell r="AU75">
            <v>2.7</v>
          </cell>
          <cell r="AV75">
            <v>5.2</v>
          </cell>
          <cell r="AY75">
            <v>0.9</v>
          </cell>
          <cell r="AZ75">
            <v>0.6</v>
          </cell>
          <cell r="BA75">
            <v>0.9</v>
          </cell>
          <cell r="BD75">
            <v>17762.97872336</v>
          </cell>
          <cell r="BE75">
            <v>9223.0851063600003</v>
          </cell>
          <cell r="BF75">
            <v>17762.97872336</v>
          </cell>
          <cell r="BG75">
            <v>0</v>
          </cell>
          <cell r="BH75">
            <v>0</v>
          </cell>
          <cell r="BI75">
            <v>3074.3617021200002</v>
          </cell>
          <cell r="BJ75">
            <v>2049.5744680799999</v>
          </cell>
          <cell r="BK75">
            <v>3074.3617021200002</v>
          </cell>
          <cell r="BL75">
            <v>0</v>
          </cell>
          <cell r="BM75">
            <v>0</v>
          </cell>
          <cell r="BN75">
            <v>4.8859200000000005</v>
          </cell>
          <cell r="BO75">
            <v>2.5369200000000003</v>
          </cell>
          <cell r="BP75">
            <v>4.8859200000000005</v>
          </cell>
          <cell r="BQ75">
            <v>0</v>
          </cell>
          <cell r="BR75">
            <v>0</v>
          </cell>
          <cell r="BS75">
            <v>0.84564000000000006</v>
          </cell>
          <cell r="BT75">
            <v>0.56376000000000004</v>
          </cell>
          <cell r="BU75">
            <v>0.84564000000000006</v>
          </cell>
          <cell r="BV75">
            <v>0</v>
          </cell>
          <cell r="BW75">
            <v>0</v>
          </cell>
          <cell r="BX75" t="str">
            <v>不可以</v>
          </cell>
          <cell r="BY75" t="str">
            <v>不可以</v>
          </cell>
          <cell r="BZ75" t="str">
            <v>不可以</v>
          </cell>
          <cell r="CC75" t="str">
            <v>(1) 進氣保護蓋為可拆式設計，方便清潔，美觀實用。
(2) 款式時尚，全黑式爐身設計。
(3) 密封式設計超炎火爐頭，溢出物不會直進爐頭內，令爐具更易清理和更耐用。</v>
          </cell>
          <cell r="CD75" t="str">
            <v>不適用</v>
          </cell>
          <cell r="CE75" t="str">
            <v>一枚C型1.5V</v>
          </cell>
          <cell r="CF75" t="str">
            <v>爐底右前方</v>
          </cell>
          <cell r="CG75" t="str">
            <v>黑色陶瓷玻璃</v>
          </cell>
          <cell r="CH75" t="str">
            <v>旋鈕式</v>
          </cell>
          <cell r="CI75" t="str">
            <v>旋鈕式</v>
          </cell>
          <cell r="CJ75" t="str">
            <v>單環 x 2</v>
          </cell>
          <cell r="CK75" t="str">
            <v>單環</v>
          </cell>
          <cell r="CL75" t="str">
            <v>不適用</v>
          </cell>
          <cell r="CM75" t="str">
            <v>不適用</v>
          </cell>
          <cell r="CN75" t="str">
            <v>不適用</v>
          </cell>
          <cell r="CO75" t="str">
            <v>不適用</v>
          </cell>
          <cell r="CP75" t="str">
            <v>不適用</v>
          </cell>
          <cell r="CQ75" t="str">
            <v>不適用</v>
          </cell>
          <cell r="CR75" t="str">
            <v>圓形五邊承托架</v>
          </cell>
          <cell r="CS75" t="str">
            <v>請按此處</v>
          </cell>
          <cell r="CT75" t="str">
            <v>請按此處</v>
          </cell>
          <cell r="CU75" t="str">
            <v>請按此處</v>
          </cell>
          <cell r="CV75">
            <v>18</v>
          </cell>
          <cell r="CW75">
            <v>39.6</v>
          </cell>
          <cell r="CX75" t="str">
            <v xml:space="preserve">爐頭中心距離：大爐頭與大爐頭距離為688mm (27.1吋)
</v>
          </cell>
          <cell r="CY75" t="str">
            <v>氣喉接駁位置：爐底後方右角</v>
          </cell>
        </row>
        <row r="76">
          <cell r="A76" t="str">
            <v>RJB33N-C</v>
          </cell>
          <cell r="B76" t="str">
            <v>停售</v>
          </cell>
          <cell r="E76" t="str">
            <v>TGC</v>
          </cell>
          <cell r="F76" t="str">
            <v>RJB33N-C (內炎火)</v>
          </cell>
          <cell r="K76" t="str">
            <v>2004年12月1日</v>
          </cell>
          <cell r="L76" t="str">
            <v>2011年4月28日</v>
          </cell>
          <cell r="M76" t="str">
            <v>日本</v>
          </cell>
          <cell r="N76" t="str">
            <v>已停售</v>
          </cell>
          <cell r="O76" t="str">
            <v>請按此處</v>
          </cell>
          <cell r="P76">
            <v>59</v>
          </cell>
          <cell r="Q76">
            <v>2.3228346456692917</v>
          </cell>
          <cell r="R76">
            <v>71</v>
          </cell>
          <cell r="S76">
            <v>2.7952755905511815</v>
          </cell>
          <cell r="U76">
            <v>0</v>
          </cell>
          <cell r="V76">
            <v>852</v>
          </cell>
          <cell r="W76">
            <v>33.543307086614178</v>
          </cell>
          <cell r="X76">
            <v>438</v>
          </cell>
          <cell r="Y76">
            <v>17.244094488188978</v>
          </cell>
          <cell r="AA76">
            <v>0</v>
          </cell>
          <cell r="AC76" t="str">
            <v>815 x 405 (32.1" x 15.9")</v>
          </cell>
          <cell r="AD76">
            <v>3</v>
          </cell>
          <cell r="AE76" t="str">
            <v>左 (炒鑊)</v>
          </cell>
          <cell r="AF76" t="str">
            <v>中 (細爐)</v>
          </cell>
          <cell r="AG76" t="str">
            <v>右 (炒鑊)</v>
          </cell>
          <cell r="AJ76">
            <v>15.120000000000001</v>
          </cell>
          <cell r="AK76">
            <v>4.6800000000000006</v>
          </cell>
          <cell r="AL76">
            <v>15.120000000000001</v>
          </cell>
          <cell r="AM76">
            <v>0</v>
          </cell>
          <cell r="AN76">
            <v>0</v>
          </cell>
          <cell r="AO76">
            <v>1.8</v>
          </cell>
          <cell r="AP76">
            <v>1.08</v>
          </cell>
          <cell r="AQ76">
            <v>1.8</v>
          </cell>
          <cell r="AR76">
            <v>0</v>
          </cell>
          <cell r="AS76">
            <v>0</v>
          </cell>
          <cell r="AT76">
            <v>4.2</v>
          </cell>
          <cell r="AU76">
            <v>1.3</v>
          </cell>
          <cell r="AV76">
            <v>4.2</v>
          </cell>
          <cell r="AY76">
            <v>0.5</v>
          </cell>
          <cell r="AZ76">
            <v>0.3</v>
          </cell>
          <cell r="BA76">
            <v>0.5</v>
          </cell>
          <cell r="BD76">
            <v>14347.021276560001</v>
          </cell>
          <cell r="BE76">
            <v>4440.74468084</v>
          </cell>
          <cell r="BF76">
            <v>14347.021276560001</v>
          </cell>
          <cell r="BG76">
            <v>0</v>
          </cell>
          <cell r="BH76">
            <v>0</v>
          </cell>
          <cell r="BI76">
            <v>1707.9787234</v>
          </cell>
          <cell r="BJ76">
            <v>1024.7872340399999</v>
          </cell>
          <cell r="BK76">
            <v>1707.9787234</v>
          </cell>
          <cell r="BL76">
            <v>0</v>
          </cell>
          <cell r="BM76">
            <v>0</v>
          </cell>
          <cell r="BN76">
            <v>3.9463200000000005</v>
          </cell>
          <cell r="BO76">
            <v>1.2214800000000001</v>
          </cell>
          <cell r="BP76">
            <v>3.9463200000000005</v>
          </cell>
          <cell r="BQ76">
            <v>0</v>
          </cell>
          <cell r="BR76">
            <v>0</v>
          </cell>
          <cell r="BS76">
            <v>0.46980000000000005</v>
          </cell>
          <cell r="BT76">
            <v>0.28188000000000002</v>
          </cell>
          <cell r="BU76">
            <v>0.46980000000000005</v>
          </cell>
          <cell r="BV76">
            <v>0</v>
          </cell>
          <cell r="BW76">
            <v>0</v>
          </cell>
          <cell r="BX76" t="str">
            <v>不可以</v>
          </cell>
          <cell r="BY76" t="str">
            <v>不可以</v>
          </cell>
          <cell r="BZ76" t="str">
            <v>不可以</v>
          </cell>
          <cell r="CC76" t="str">
            <v>(1) 內炎火爐頭。
(2) 固定式低爐架設計。
(3) 易拆式進氣保護蓋。
(4) 德國陶瓷玻璃。</v>
          </cell>
          <cell r="CD76" t="str">
            <v>不適用</v>
          </cell>
          <cell r="CE76" t="str">
            <v>一枚C型1.5V</v>
          </cell>
          <cell r="CF76" t="str">
            <v>爐底中前方</v>
          </cell>
          <cell r="CG76" t="str">
            <v>黑色陶瓷玻璃 + 黑色鋁合金框架
黑色陶瓷玻璃 + 銀色鋁合金框架</v>
          </cell>
          <cell r="CH76" t="str">
            <v>旋鈕式</v>
          </cell>
          <cell r="CI76" t="str">
            <v>旋鈕式</v>
          </cell>
          <cell r="CJ76" t="str">
            <v>單環 x 2</v>
          </cell>
          <cell r="CK76" t="str">
            <v>不適用</v>
          </cell>
          <cell r="CL76" t="str">
            <v>不適用</v>
          </cell>
          <cell r="CM76" t="str">
            <v>單環</v>
          </cell>
          <cell r="CN76" t="str">
            <v>不適用</v>
          </cell>
          <cell r="CO76" t="str">
            <v>不適用</v>
          </cell>
          <cell r="CP76" t="str">
            <v>不適用</v>
          </cell>
          <cell r="CQ76" t="str">
            <v>不適用</v>
          </cell>
          <cell r="CR76" t="str">
            <v>圓形五邊承托架</v>
          </cell>
          <cell r="CS76" t="str">
            <v>請按此處</v>
          </cell>
          <cell r="CT76" t="str">
            <v>請按此處</v>
          </cell>
          <cell r="CU76" t="str">
            <v>請按此處</v>
          </cell>
          <cell r="CV76">
            <v>13</v>
          </cell>
          <cell r="CW76">
            <v>28.6</v>
          </cell>
          <cell r="CX76"/>
          <cell r="CY76" t="str">
            <v>氣喉接駁位置：爐底後方右角</v>
          </cell>
        </row>
        <row r="77">
          <cell r="A77" t="str">
            <v>TNJB33-C</v>
          </cell>
          <cell r="B77" t="str">
            <v>停售</v>
          </cell>
          <cell r="E77" t="str">
            <v>TGC</v>
          </cell>
          <cell r="H77" t="str">
            <v>舊版  TNJB33-C (超勁火) 舊版</v>
          </cell>
          <cell r="K77" t="str">
            <v>2007年12月14日</v>
          </cell>
          <cell r="L77" t="str">
            <v>資料不詳</v>
          </cell>
          <cell r="M77" t="str">
            <v>日本</v>
          </cell>
          <cell r="N77" t="str">
            <v>已停售</v>
          </cell>
          <cell r="O77" t="str">
            <v>請按此處</v>
          </cell>
          <cell r="P77">
            <v>65</v>
          </cell>
          <cell r="Q77">
            <v>2.5590551181102366</v>
          </cell>
          <cell r="R77">
            <v>78</v>
          </cell>
          <cell r="S77">
            <v>3.0708661417322838</v>
          </cell>
          <cell r="U77">
            <v>0</v>
          </cell>
          <cell r="V77">
            <v>850</v>
          </cell>
          <cell r="W77">
            <v>33.464566929133859</v>
          </cell>
          <cell r="X77">
            <v>446</v>
          </cell>
          <cell r="Y77">
            <v>17.559055118110237</v>
          </cell>
          <cell r="AA77">
            <v>0</v>
          </cell>
          <cell r="AC77" t="str">
            <v>815 x 405 (32.1" x 15.9")</v>
          </cell>
          <cell r="AD77">
            <v>3</v>
          </cell>
          <cell r="AE77" t="str">
            <v>左 (炒鑊)</v>
          </cell>
          <cell r="AF77" t="str">
            <v>中 (細爐)</v>
          </cell>
          <cell r="AG77" t="str">
            <v>右 (炒鑊)</v>
          </cell>
          <cell r="AJ77">
            <v>20.88</v>
          </cell>
          <cell r="AK77">
            <v>6.48</v>
          </cell>
          <cell r="AL77">
            <v>20.88</v>
          </cell>
          <cell r="AM77">
            <v>0</v>
          </cell>
          <cell r="AN77">
            <v>0</v>
          </cell>
          <cell r="AO77">
            <v>1.08</v>
          </cell>
          <cell r="AP77">
            <v>0.72000000000000008</v>
          </cell>
          <cell r="AQ77">
            <v>1.08</v>
          </cell>
          <cell r="AR77">
            <v>0</v>
          </cell>
          <cell r="AS77">
            <v>0</v>
          </cell>
          <cell r="AT77">
            <v>5.8</v>
          </cell>
          <cell r="AU77">
            <v>1.8</v>
          </cell>
          <cell r="AV77">
            <v>5.8</v>
          </cell>
          <cell r="AY77">
            <v>0.3</v>
          </cell>
          <cell r="AZ77">
            <v>0.2</v>
          </cell>
          <cell r="BA77">
            <v>0.3</v>
          </cell>
          <cell r="BD77">
            <v>19812.553191439998</v>
          </cell>
          <cell r="BE77">
            <v>6148.7234042400005</v>
          </cell>
          <cell r="BF77">
            <v>19812.553191439998</v>
          </cell>
          <cell r="BG77">
            <v>0</v>
          </cell>
          <cell r="BH77">
            <v>0</v>
          </cell>
          <cell r="BI77">
            <v>1024.7872340399999</v>
          </cell>
          <cell r="BJ77">
            <v>683.19148936000011</v>
          </cell>
          <cell r="BK77">
            <v>1024.7872340399999</v>
          </cell>
          <cell r="BL77">
            <v>0</v>
          </cell>
          <cell r="BM77">
            <v>0</v>
          </cell>
          <cell r="BN77">
            <v>5.4496799999999999</v>
          </cell>
          <cell r="BO77">
            <v>1.6912800000000001</v>
          </cell>
          <cell r="BP77">
            <v>5.4496799999999999</v>
          </cell>
          <cell r="BQ77">
            <v>0</v>
          </cell>
          <cell r="BR77">
            <v>0</v>
          </cell>
          <cell r="BS77">
            <v>0.28188000000000002</v>
          </cell>
          <cell r="BT77">
            <v>0.18792000000000003</v>
          </cell>
          <cell r="BU77">
            <v>0.28188000000000002</v>
          </cell>
          <cell r="BV77">
            <v>0</v>
          </cell>
          <cell r="BW77">
            <v>0</v>
          </cell>
          <cell r="BX77" t="str">
            <v>可以</v>
          </cell>
          <cell r="BY77" t="str">
            <v>不可以</v>
          </cell>
          <cell r="BZ77" t="str">
            <v>可以</v>
          </cell>
          <cell r="CC77" t="str">
            <v>(1) 日本陶瓷玻璃。
(2) 爐頭不可拆除清潔。</v>
          </cell>
          <cell r="CD77" t="str">
            <v>不適用</v>
          </cell>
          <cell r="CE77" t="str">
            <v>兩枚C型1.5V</v>
          </cell>
          <cell r="CF77" t="str">
            <v>爐底左前方</v>
          </cell>
          <cell r="CG77" t="str">
            <v>黑色陶瓷玻璃</v>
          </cell>
          <cell r="CH77" t="str">
            <v>旋鈕式</v>
          </cell>
          <cell r="CI77" t="str">
            <v>旋鈕式</v>
          </cell>
          <cell r="CJ77" t="str">
            <v>雙環 x 2</v>
          </cell>
          <cell r="CK77" t="str">
            <v>不適用</v>
          </cell>
          <cell r="CL77" t="str">
            <v>不適用</v>
          </cell>
          <cell r="CM77" t="str">
            <v>單環</v>
          </cell>
          <cell r="CN77" t="str">
            <v>不適用</v>
          </cell>
          <cell r="CO77" t="str">
            <v>不適用</v>
          </cell>
          <cell r="CP77" t="str">
            <v>不適用</v>
          </cell>
          <cell r="CQ77" t="str">
            <v>不適用</v>
          </cell>
          <cell r="CR77" t="str">
            <v>圓形五邊承托架</v>
          </cell>
          <cell r="CS77" t="str">
            <v>請按此處</v>
          </cell>
          <cell r="CT77" t="str">
            <v>請按此處</v>
          </cell>
          <cell r="CU77" t="str">
            <v>請按此處</v>
          </cell>
          <cell r="CV77">
            <v>20</v>
          </cell>
          <cell r="CW77">
            <v>44</v>
          </cell>
          <cell r="CX77"/>
          <cell r="CY77" t="str">
            <v>氣喉接駁位置：爐底後方右角</v>
          </cell>
        </row>
        <row r="78">
          <cell r="A78" t="str">
            <v>TRJB33M-C-B</v>
          </cell>
          <cell r="B78" t="str">
            <v>停售</v>
          </cell>
          <cell r="E78" t="str">
            <v>TGC</v>
          </cell>
          <cell r="G78" t="str">
            <v>TRJB33M-C-B (極炎火)</v>
          </cell>
          <cell r="K78" t="str">
            <v>2008年10月30日</v>
          </cell>
          <cell r="L78" t="str">
            <v>2011年4月28日</v>
          </cell>
          <cell r="M78" t="str">
            <v>日本</v>
          </cell>
          <cell r="N78" t="str">
            <v>已停售</v>
          </cell>
          <cell r="O78" t="str">
            <v>請按此處</v>
          </cell>
          <cell r="P78">
            <v>54</v>
          </cell>
          <cell r="Q78">
            <v>2.1259842519685042</v>
          </cell>
          <cell r="R78">
            <v>66</v>
          </cell>
          <cell r="S78">
            <v>2.598425196850394</v>
          </cell>
          <cell r="T78">
            <v>130</v>
          </cell>
          <cell r="U78">
            <v>5.1181102362204731</v>
          </cell>
          <cell r="V78">
            <v>852</v>
          </cell>
          <cell r="W78">
            <v>33.543307086614178</v>
          </cell>
          <cell r="X78">
            <v>438</v>
          </cell>
          <cell r="Y78">
            <v>17.244094488188978</v>
          </cell>
          <cell r="AA78">
            <v>0</v>
          </cell>
          <cell r="AC78" t="str">
            <v>815 x 405 (32.1" x 15.9")</v>
          </cell>
          <cell r="AD78">
            <v>3</v>
          </cell>
          <cell r="AE78" t="str">
            <v>左 (炒鑊)</v>
          </cell>
          <cell r="AF78" t="str">
            <v>中 (中爐)</v>
          </cell>
          <cell r="AG78" t="str">
            <v>右 (炒鑊)</v>
          </cell>
          <cell r="AJ78">
            <v>20.88</v>
          </cell>
          <cell r="AK78">
            <v>10.8</v>
          </cell>
          <cell r="AL78">
            <v>20.88</v>
          </cell>
          <cell r="AM78">
            <v>0</v>
          </cell>
          <cell r="AN78">
            <v>0</v>
          </cell>
          <cell r="AO78">
            <v>1.08</v>
          </cell>
          <cell r="AP78">
            <v>2.16</v>
          </cell>
          <cell r="AQ78">
            <v>1.08</v>
          </cell>
          <cell r="AR78">
            <v>0</v>
          </cell>
          <cell r="AS78">
            <v>0</v>
          </cell>
          <cell r="AT78">
            <v>5.8</v>
          </cell>
          <cell r="AU78">
            <v>3</v>
          </cell>
          <cell r="AV78">
            <v>5.8</v>
          </cell>
          <cell r="AY78">
            <v>0.3</v>
          </cell>
          <cell r="AZ78">
            <v>0.6</v>
          </cell>
          <cell r="BA78">
            <v>0.3</v>
          </cell>
          <cell r="BD78">
            <v>19812.553191439998</v>
          </cell>
          <cell r="BE78">
            <v>10247.872340400001</v>
          </cell>
          <cell r="BF78">
            <v>19812.553191439998</v>
          </cell>
          <cell r="BG78">
            <v>0</v>
          </cell>
          <cell r="BH78">
            <v>0</v>
          </cell>
          <cell r="BI78">
            <v>1024.7872340399999</v>
          </cell>
          <cell r="BJ78">
            <v>2049.5744680799999</v>
          </cell>
          <cell r="BK78">
            <v>1024.7872340399999</v>
          </cell>
          <cell r="BL78">
            <v>0</v>
          </cell>
          <cell r="BM78">
            <v>0</v>
          </cell>
          <cell r="BN78">
            <v>5.4496799999999999</v>
          </cell>
          <cell r="BO78">
            <v>2.8188000000000004</v>
          </cell>
          <cell r="BP78">
            <v>5.4496799999999999</v>
          </cell>
          <cell r="BQ78">
            <v>0</v>
          </cell>
          <cell r="BR78">
            <v>0</v>
          </cell>
          <cell r="BS78">
            <v>0.28188000000000002</v>
          </cell>
          <cell r="BT78">
            <v>0.56376000000000004</v>
          </cell>
          <cell r="BU78">
            <v>0.28188000000000002</v>
          </cell>
          <cell r="BV78">
            <v>0</v>
          </cell>
          <cell r="BW78">
            <v>0</v>
          </cell>
          <cell r="BX78" t="str">
            <v>可以</v>
          </cell>
          <cell r="BY78" t="str">
            <v>不可以</v>
          </cell>
          <cell r="BZ78" t="str">
            <v>可以</v>
          </cell>
          <cell r="CC78" t="str">
            <v>1) 堅固鑄鐵爐架，底部設有定位針，避免轉動刮花玻璃面，穩定耐用。
2. 進氣保護蓋為可拆式設計。
3. 密封式設計極炎火爐頭，溢出物不會直接進入爐具內。
4. 德國名牌Schott優質陶瓷玻璃；傳熱度特低；易清潔。</v>
          </cell>
          <cell r="CD78" t="str">
            <v>不適用</v>
          </cell>
          <cell r="CE78" t="str">
            <v>一枚C型1.5V</v>
          </cell>
          <cell r="CF78" t="str">
            <v>爐底中央</v>
          </cell>
          <cell r="CG78" t="str">
            <v>黑色陶瓷玻璃配黑色鋁合金框架
黑色陶瓷玻璃配銀色鋁合金框架</v>
          </cell>
          <cell r="CH78" t="str">
            <v>旋鈕式</v>
          </cell>
          <cell r="CI78" t="str">
            <v>旋鈕式</v>
          </cell>
          <cell r="CJ78" t="str">
            <v>雙環 x 2</v>
          </cell>
          <cell r="CK78" t="str">
            <v>單環</v>
          </cell>
          <cell r="CL78" t="str">
            <v>不適用</v>
          </cell>
          <cell r="CM78" t="str">
            <v>不適用</v>
          </cell>
          <cell r="CN78" t="str">
            <v>不適用</v>
          </cell>
          <cell r="CO78" t="str">
            <v>不適用</v>
          </cell>
          <cell r="CP78" t="str">
            <v>不適用</v>
          </cell>
          <cell r="CQ78" t="str">
            <v>不適用</v>
          </cell>
          <cell r="CR78" t="str">
            <v>圓形五邊承托架</v>
          </cell>
          <cell r="CS78" t="str">
            <v>請按此處</v>
          </cell>
          <cell r="CT78" t="str">
            <v>請按此處</v>
          </cell>
          <cell r="CU78" t="str">
            <v>請按此處</v>
          </cell>
          <cell r="CV78">
            <v>20</v>
          </cell>
          <cell r="CW78">
            <v>44</v>
          </cell>
          <cell r="CX78"/>
          <cell r="CY78" t="str">
            <v>氣喉接駁位置：爐底後方右角</v>
          </cell>
        </row>
        <row r="79">
          <cell r="A79" t="str">
            <v>TRJC753</v>
          </cell>
          <cell r="B79" t="str">
            <v>停售</v>
          </cell>
          <cell r="E79" t="str">
            <v>TGC</v>
          </cell>
          <cell r="F79" t="str">
            <v>Elemento TRJC753</v>
          </cell>
          <cell r="I79" t="str">
            <v>講義</v>
          </cell>
          <cell r="K79" t="str">
            <v>2009年5月8日</v>
          </cell>
          <cell r="L79" t="str">
            <v>2019年7月22日</v>
          </cell>
          <cell r="M79" t="str">
            <v>日本</v>
          </cell>
          <cell r="N79" t="str">
            <v>已停售</v>
          </cell>
          <cell r="P79">
            <v>220</v>
          </cell>
          <cell r="Q79">
            <v>8.6614173228346463</v>
          </cell>
          <cell r="R79">
            <v>231</v>
          </cell>
          <cell r="S79">
            <v>9.0944881889763778</v>
          </cell>
          <cell r="T79">
            <v>271</v>
          </cell>
          <cell r="U79">
            <v>10.669291338582678</v>
          </cell>
          <cell r="V79">
            <v>744</v>
          </cell>
          <cell r="W79">
            <v>29.291338582677167</v>
          </cell>
          <cell r="X79">
            <v>515</v>
          </cell>
          <cell r="Y79">
            <v>20.275590551181104</v>
          </cell>
          <cell r="AA79">
            <v>0</v>
          </cell>
          <cell r="AC79" t="str">
            <v>560 x 460 (22" x 18.1")</v>
          </cell>
          <cell r="AD79">
            <v>3</v>
          </cell>
          <cell r="AE79" t="str">
            <v>左 (中爐)</v>
          </cell>
          <cell r="AF79" t="str">
            <v>中 (細爐)</v>
          </cell>
          <cell r="AG79" t="str">
            <v>右 (炒鑊)</v>
          </cell>
          <cell r="AH79" t="str">
            <v>烤爐頭</v>
          </cell>
          <cell r="AJ79">
            <v>9.3600000000000012</v>
          </cell>
          <cell r="AK79">
            <v>4.6800000000000006</v>
          </cell>
          <cell r="AL79">
            <v>15.48</v>
          </cell>
          <cell r="AM79">
            <v>7.2</v>
          </cell>
          <cell r="AN79">
            <v>0</v>
          </cell>
          <cell r="AO79">
            <v>1.4400000000000002</v>
          </cell>
          <cell r="AP79">
            <v>1.08</v>
          </cell>
          <cell r="AQ79">
            <v>1.08</v>
          </cell>
          <cell r="AR79">
            <v>3.24</v>
          </cell>
          <cell r="AS79">
            <v>0</v>
          </cell>
          <cell r="AT79">
            <v>2.6</v>
          </cell>
          <cell r="AU79">
            <v>1.3</v>
          </cell>
          <cell r="AV79">
            <v>4.3</v>
          </cell>
          <cell r="AW79">
            <v>2</v>
          </cell>
          <cell r="AY79">
            <v>0.4</v>
          </cell>
          <cell r="AZ79">
            <v>0.3</v>
          </cell>
          <cell r="BA79">
            <v>0.3</v>
          </cell>
          <cell r="BB79">
            <v>0.9</v>
          </cell>
          <cell r="BD79">
            <v>8881.48936168</v>
          </cell>
          <cell r="BE79">
            <v>4440.74468084</v>
          </cell>
          <cell r="BF79">
            <v>14688.617021239999</v>
          </cell>
          <cell r="BG79">
            <v>6831.9148936000001</v>
          </cell>
          <cell r="BH79">
            <v>0</v>
          </cell>
          <cell r="BI79">
            <v>1366.3829787200002</v>
          </cell>
          <cell r="BJ79">
            <v>1024.7872340399999</v>
          </cell>
          <cell r="BK79">
            <v>1024.7872340399999</v>
          </cell>
          <cell r="BL79">
            <v>3074.3617021200002</v>
          </cell>
          <cell r="BM79">
            <v>0</v>
          </cell>
          <cell r="BN79">
            <v>2.4429600000000002</v>
          </cell>
          <cell r="BO79">
            <v>1.2214800000000001</v>
          </cell>
          <cell r="BP79">
            <v>4.0402800000000001</v>
          </cell>
          <cell r="BQ79">
            <v>1.8792000000000002</v>
          </cell>
          <cell r="BR79">
            <v>0</v>
          </cell>
          <cell r="BS79">
            <v>0.37584000000000006</v>
          </cell>
          <cell r="BT79">
            <v>0.28188000000000002</v>
          </cell>
          <cell r="BU79">
            <v>0.28188000000000002</v>
          </cell>
          <cell r="BV79">
            <v>0.84564000000000006</v>
          </cell>
          <cell r="BW79">
            <v>0</v>
          </cell>
          <cell r="BX79" t="str">
            <v>資料不詳</v>
          </cell>
          <cell r="BY79" t="str">
            <v>資料不詳</v>
          </cell>
          <cell r="BZ79" t="str">
            <v>資料不詳</v>
          </cell>
          <cell r="CC79" t="str">
            <v>(1) 烤、焗、煮、炸功能於一身
(2) 採用6毫米厚鋁質面板、鑄不銹鋼爐架
(3) 高效能密封式設設“蓮花”爐頭，溢瀉物不易進入爐內
(4) 智能油炸控溫功能
(5) 智能明火煲飯、煲粥功能，可使用瓦鍋或金屬鍋
(6) 智能沸水功能，水滾自動收細火保溫5分鐘
(7) 平頭爐爐頭設可預設時計自動熄火
(8) 燒烤爐備有可調校上下火，時計自動熄火</v>
          </cell>
          <cell r="CD79" t="str">
            <v>不適用</v>
          </cell>
          <cell r="CE79" t="str">
            <v>兩枚D型1.5V</v>
          </cell>
          <cell r="CF79" t="str">
            <v>前右方</v>
          </cell>
          <cell r="CG79" t="str">
            <v>銀色鋁合金</v>
          </cell>
          <cell r="CH79" t="str">
            <v>按鈕式</v>
          </cell>
          <cell r="CI79" t="str">
            <v>旋鈕式</v>
          </cell>
          <cell r="CJ79" t="str">
            <v>資料不詳</v>
          </cell>
          <cell r="CK79" t="str">
            <v>資料不詳</v>
          </cell>
          <cell r="CL79" t="str">
            <v>資料不詳</v>
          </cell>
          <cell r="CM79" t="str">
            <v>資料不詳</v>
          </cell>
          <cell r="CN79" t="str">
            <v>資料不詳</v>
          </cell>
          <cell r="CO79" t="str">
            <v>資料不詳</v>
          </cell>
          <cell r="CP79" t="str">
            <v>資料不詳</v>
          </cell>
          <cell r="CQ79" t="str">
            <v>資料不詳</v>
          </cell>
          <cell r="CR79" t="str">
            <v>圓形六邊承托架</v>
          </cell>
          <cell r="CS79" t="str">
            <v>請按此處</v>
          </cell>
          <cell r="CT79" t="str">
            <v>不適用</v>
          </cell>
          <cell r="CU79" t="str">
            <v>不適用</v>
          </cell>
          <cell r="CV79">
            <v>31</v>
          </cell>
          <cell r="CW79">
            <v>68.2</v>
          </cell>
          <cell r="CX79" t="str">
            <v>焗爐尺寸資料：
高：12cm 
闊：18cm
深：26cm
容量：5.6公升</v>
          </cell>
          <cell r="CY79" t="str">
            <v>特點(From Catalgoue)：
(1) 三個爐頭備有不同火力，方便不同煮食方式
(2) 高效能“蓮花”火
(3) 9段火力調校，設有上下火
(4) 電子燈號火力控制顯示
(5) 爐頭均設有智能感應器
(6) 6毫米厚鋁合金面板，堅固耐用
(7) 精製不銹鋼爐架，線條細緻，美觀耐用
(8) 易拆式進氣保護蓋
(9) 兒童安全鎖
(10) 高溫熄火安全裝置
(11) 防燒焦熄火裝置
(12) 兩小時自動熄火安全裝置
(13) 內置焗爐﹝3種火力調校﹞，並可作烤爐使用﹝4種火力調校﹞
(14) 配備優質鑄鐵鍋
(15) 智能沸水程式 - 水滾後爐火自動收細，並於5分鐘後自動熄火，確保食水衛生
(16) 智能煮飯功能﹝煲仔飯、粥和白飯﹞
(17) 智能油炸功能﹝四種溫度選擇﹞
(18) 預校熄火時間功能
(19) 保溫功能﹝可調校1至90分鐘﹞</v>
          </cell>
          <cell r="DF79"/>
          <cell r="DG79"/>
        </row>
        <row r="80">
          <cell r="A80" t="str">
            <v>SRDB94</v>
          </cell>
          <cell r="B80" t="str">
            <v>停售</v>
          </cell>
          <cell r="E80" t="str">
            <v>Simpa</v>
          </cell>
          <cell r="F80" t="str">
            <v>SRDB94</v>
          </cell>
          <cell r="I80" t="str">
            <v>講義</v>
          </cell>
          <cell r="K80" t="str">
            <v>2005年7月20日</v>
          </cell>
          <cell r="L80" t="str">
            <v>2010年12月7日</v>
          </cell>
          <cell r="M80" t="str">
            <v>印尼</v>
          </cell>
          <cell r="N80" t="str">
            <v>已停售</v>
          </cell>
          <cell r="O80" t="str">
            <v>請按此處</v>
          </cell>
          <cell r="P80">
            <v>65</v>
          </cell>
          <cell r="Q80">
            <v>2.5590551181102366</v>
          </cell>
          <cell r="R80">
            <v>77</v>
          </cell>
          <cell r="S80">
            <v>3.0314960629921264</v>
          </cell>
          <cell r="T80">
            <v>115</v>
          </cell>
          <cell r="U80">
            <v>4.5275590551181102</v>
          </cell>
          <cell r="V80">
            <v>867</v>
          </cell>
          <cell r="W80">
            <v>34.133858267716541</v>
          </cell>
          <cell r="X80">
            <v>507</v>
          </cell>
          <cell r="Y80">
            <v>19.960629921259844</v>
          </cell>
          <cell r="AA80">
            <v>0</v>
          </cell>
          <cell r="AC80" t="str">
            <v>835 x 475 (32.9" x 18.7")</v>
          </cell>
          <cell r="AD80">
            <v>4</v>
          </cell>
          <cell r="AE80" t="str">
            <v>左上 (細爐)</v>
          </cell>
          <cell r="AF80" t="str">
            <v>左下 (大爐)</v>
          </cell>
          <cell r="AG80" t="str">
            <v>右上 (中爐)</v>
          </cell>
          <cell r="AH80" t="str">
            <v>右下 (中爐)</v>
          </cell>
          <cell r="AJ80">
            <v>5.04</v>
          </cell>
          <cell r="AK80">
            <v>17.28</v>
          </cell>
          <cell r="AL80">
            <v>9.7200000000000006</v>
          </cell>
          <cell r="AM80">
            <v>9.7200000000000006</v>
          </cell>
          <cell r="AN80">
            <v>0</v>
          </cell>
          <cell r="AO80">
            <v>1.08</v>
          </cell>
          <cell r="AP80">
            <v>1.08</v>
          </cell>
          <cell r="AQ80">
            <v>2.16</v>
          </cell>
          <cell r="AR80">
            <v>2.16</v>
          </cell>
          <cell r="AS80">
            <v>0</v>
          </cell>
          <cell r="AT80">
            <v>1.4</v>
          </cell>
          <cell r="AU80">
            <v>4.8</v>
          </cell>
          <cell r="AV80">
            <v>2.7</v>
          </cell>
          <cell r="AW80">
            <v>2.7</v>
          </cell>
          <cell r="AY80">
            <v>0.3</v>
          </cell>
          <cell r="AZ80">
            <v>0.3</v>
          </cell>
          <cell r="BA80">
            <v>0.6</v>
          </cell>
          <cell r="BB80">
            <v>0.6</v>
          </cell>
          <cell r="BD80">
            <v>4782.3404255199994</v>
          </cell>
          <cell r="BE80">
            <v>16396.595744639999</v>
          </cell>
          <cell r="BF80">
            <v>9223.0851063600003</v>
          </cell>
          <cell r="BG80">
            <v>9223.0851063600003</v>
          </cell>
          <cell r="BH80">
            <v>0</v>
          </cell>
          <cell r="BI80">
            <v>1024.7872340399999</v>
          </cell>
          <cell r="BJ80">
            <v>1024.7872340399999</v>
          </cell>
          <cell r="BK80">
            <v>2049.5744680799999</v>
          </cell>
          <cell r="BL80">
            <v>2049.5744680799999</v>
          </cell>
          <cell r="BM80">
            <v>0</v>
          </cell>
          <cell r="BN80">
            <v>1.3154400000000002</v>
          </cell>
          <cell r="BO80">
            <v>4.5100800000000003</v>
          </cell>
          <cell r="BP80">
            <v>2.5369200000000003</v>
          </cell>
          <cell r="BQ80">
            <v>2.5369200000000003</v>
          </cell>
          <cell r="BR80">
            <v>0</v>
          </cell>
          <cell r="BS80">
            <v>0.28188000000000002</v>
          </cell>
          <cell r="BT80">
            <v>0.28188000000000002</v>
          </cell>
          <cell r="BU80">
            <v>0.56376000000000004</v>
          </cell>
          <cell r="BV80">
            <v>0.56376000000000004</v>
          </cell>
          <cell r="BW80">
            <v>0</v>
          </cell>
          <cell r="BX80" t="str">
            <v>不可以</v>
          </cell>
          <cell r="BY80" t="str">
            <v>可以</v>
          </cell>
          <cell r="BZ80" t="str">
            <v>資料不詳</v>
          </cell>
          <cell r="CA80" t="str">
            <v>資料不詳</v>
          </cell>
          <cell r="CC80" t="str">
            <v>(1) 人體工學設計的流線型旋鈕
(2) 輔肋承托架，方便擺放煮食用具
(3) 火力特大
(4) 流線型爐架，美觀大方</v>
          </cell>
          <cell r="CD80" t="str">
            <v>不適用</v>
          </cell>
          <cell r="CE80" t="str">
            <v>兩枚D型1.5V</v>
          </cell>
          <cell r="CF80" t="str">
            <v>爐底左前方</v>
          </cell>
          <cell r="CG80" t="str">
            <v>白色搪瓷
不銹鋼
灰色搪瓷</v>
          </cell>
          <cell r="CH80" t="str">
            <v>旋鈕式</v>
          </cell>
          <cell r="CI80" t="str">
            <v>旋鈕式</v>
          </cell>
          <cell r="CJ80" t="str">
            <v>雙環</v>
          </cell>
          <cell r="CK80" t="str">
            <v>雙環</v>
          </cell>
          <cell r="CL80" t="str">
            <v>雙環</v>
          </cell>
          <cell r="CM80" t="str">
            <v>單環</v>
          </cell>
          <cell r="CN80" t="str">
            <v>不適用</v>
          </cell>
          <cell r="CO80" t="str">
            <v>不適用</v>
          </cell>
          <cell r="CP80" t="str">
            <v>不適用</v>
          </cell>
          <cell r="CQ80" t="str">
            <v>不適用</v>
          </cell>
          <cell r="CR80" t="str">
            <v>長形連架</v>
          </cell>
          <cell r="CS80" t="str">
            <v>請按此處</v>
          </cell>
          <cell r="CT80" t="str">
            <v>請按此處</v>
          </cell>
          <cell r="CU80" t="str">
            <v>請按此處</v>
          </cell>
          <cell r="CV80">
            <v>14</v>
          </cell>
          <cell r="CW80">
            <v>30.800000000000004</v>
          </cell>
          <cell r="CX80"/>
          <cell r="CY80" t="str">
            <v>氣喉接駁位：爐底後方右角</v>
          </cell>
        </row>
        <row r="81">
          <cell r="A81" t="str">
            <v>MWZB62</v>
          </cell>
          <cell r="B81" t="str">
            <v>停售</v>
          </cell>
          <cell r="E81" t="str">
            <v>Meo</v>
          </cell>
          <cell r="F81" t="str">
            <v>MWZB62-GB</v>
          </cell>
          <cell r="K81" t="str">
            <v>2008年12月10日</v>
          </cell>
          <cell r="L81" t="str">
            <v>已停售</v>
          </cell>
          <cell r="M81" t="str">
            <v>中國</v>
          </cell>
          <cell r="N81" t="str">
            <v>已停售
只限經銷商銷售</v>
          </cell>
          <cell r="O81" t="str">
            <v>請按此處</v>
          </cell>
          <cell r="P81">
            <v>55</v>
          </cell>
          <cell r="Q81">
            <v>2.1653543307086616</v>
          </cell>
          <cell r="R81">
            <v>63</v>
          </cell>
          <cell r="S81">
            <v>2.4803149606299213</v>
          </cell>
          <cell r="U81">
            <v>0</v>
          </cell>
          <cell r="V81">
            <v>750</v>
          </cell>
          <cell r="W81">
            <v>29.527559055118111</v>
          </cell>
          <cell r="X81">
            <v>450</v>
          </cell>
          <cell r="Y81">
            <v>17.716535433070867</v>
          </cell>
          <cell r="AA81">
            <v>0</v>
          </cell>
          <cell r="AC81" t="str">
            <v>670 x 350 (26.4" x 13.8")</v>
          </cell>
          <cell r="AD81">
            <v>2</v>
          </cell>
          <cell r="AE81" t="str">
            <v>左</v>
          </cell>
          <cell r="AF81" t="str">
            <v>右</v>
          </cell>
          <cell r="AJ81">
            <v>16.2</v>
          </cell>
          <cell r="AK81">
            <v>16.2</v>
          </cell>
          <cell r="AL81">
            <v>0</v>
          </cell>
          <cell r="AM81">
            <v>0</v>
          </cell>
          <cell r="AN81">
            <v>0</v>
          </cell>
          <cell r="AO81">
            <v>0</v>
          </cell>
          <cell r="AP81">
            <v>0</v>
          </cell>
          <cell r="AQ81">
            <v>0</v>
          </cell>
          <cell r="AR81">
            <v>0</v>
          </cell>
          <cell r="AS81">
            <v>0</v>
          </cell>
          <cell r="AT81">
            <v>4.5</v>
          </cell>
          <cell r="AU81">
            <v>4.5</v>
          </cell>
          <cell r="BD81">
            <v>15371.8085106</v>
          </cell>
          <cell r="BE81">
            <v>15371.8085106</v>
          </cell>
          <cell r="BF81">
            <v>0</v>
          </cell>
          <cell r="BG81">
            <v>0</v>
          </cell>
          <cell r="BH81">
            <v>0</v>
          </cell>
          <cell r="BI81">
            <v>0</v>
          </cell>
          <cell r="BJ81">
            <v>0</v>
          </cell>
          <cell r="BK81">
            <v>0</v>
          </cell>
          <cell r="BL81">
            <v>0</v>
          </cell>
          <cell r="BM81">
            <v>0</v>
          </cell>
          <cell r="BN81">
            <v>4.2282000000000002</v>
          </cell>
          <cell r="BO81">
            <v>4.2282000000000002</v>
          </cell>
          <cell r="BP81">
            <v>0</v>
          </cell>
          <cell r="BQ81">
            <v>0</v>
          </cell>
          <cell r="BR81">
            <v>0</v>
          </cell>
          <cell r="BS81">
            <v>0</v>
          </cell>
          <cell r="BT81">
            <v>0</v>
          </cell>
          <cell r="BU81">
            <v>0</v>
          </cell>
          <cell r="BV81">
            <v>0</v>
          </cell>
          <cell r="BW81">
            <v>0</v>
          </cell>
          <cell r="BX81" t="str">
            <v>可以</v>
          </cell>
          <cell r="BY81" t="str">
            <v>可以</v>
          </cell>
          <cell r="CC81" t="str">
            <v>(1) 金色銅合金爐頭蓋配合銀色鍍鉻爐頭座。</v>
          </cell>
          <cell r="CD81" t="str">
            <v>不適用</v>
          </cell>
          <cell r="CE81" t="str">
            <v>一枚D型1.5V</v>
          </cell>
          <cell r="CF81" t="str">
            <v>爐底前方左角</v>
          </cell>
          <cell r="CG81" t="str">
            <v>黑色強化玻璃</v>
          </cell>
          <cell r="CH81" t="str">
            <v>旋鈕式</v>
          </cell>
          <cell r="CI81" t="str">
            <v>旋鈕式</v>
          </cell>
          <cell r="CJ81" t="str">
            <v>雙環 x 2</v>
          </cell>
          <cell r="CK81" t="str">
            <v>不適用</v>
          </cell>
          <cell r="CL81" t="str">
            <v>不適用</v>
          </cell>
          <cell r="CM81" t="str">
            <v>不適用</v>
          </cell>
          <cell r="CN81" t="str">
            <v>不適用</v>
          </cell>
          <cell r="CO81" t="str">
            <v>不適用</v>
          </cell>
          <cell r="CP81" t="str">
            <v>不適用</v>
          </cell>
          <cell r="CQ81" t="str">
            <v>不適用</v>
          </cell>
          <cell r="CR81" t="str">
            <v>圓形五邊承托架</v>
          </cell>
          <cell r="CS81" t="str">
            <v>請按此處</v>
          </cell>
          <cell r="CT81" t="str">
            <v>請按此處</v>
          </cell>
          <cell r="CU81" t="str">
            <v>請按此處</v>
          </cell>
          <cell r="CW81">
            <v>0</v>
          </cell>
          <cell r="CX81"/>
          <cell r="CY81" t="str">
            <v>氣喉接駁位：爐底後方右角</v>
          </cell>
        </row>
        <row r="82">
          <cell r="A82" t="str">
            <v>STYB604A</v>
          </cell>
          <cell r="B82" t="str">
            <v>停售</v>
          </cell>
          <cell r="E82" t="str">
            <v>Simpa</v>
          </cell>
          <cell r="F82" t="str">
            <v>STYB604A</v>
          </cell>
          <cell r="G82" t="str">
            <v>STYB604A</v>
          </cell>
          <cell r="I82" t="str">
            <v>講義</v>
          </cell>
          <cell r="K82" t="str">
            <v>2008年2月28日</v>
          </cell>
          <cell r="L82" t="str">
            <v>2013年11月22日</v>
          </cell>
          <cell r="M82" t="str">
            <v>意大利</v>
          </cell>
          <cell r="N82" t="str">
            <v>已停售</v>
          </cell>
          <cell r="O82" t="str">
            <v>請按此處</v>
          </cell>
          <cell r="P82">
            <v>40</v>
          </cell>
          <cell r="Q82">
            <v>1.5748031496062993</v>
          </cell>
          <cell r="R82">
            <v>47</v>
          </cell>
          <cell r="S82">
            <v>1.8503937007874016</v>
          </cell>
          <cell r="U82">
            <v>0</v>
          </cell>
          <cell r="V82">
            <v>598</v>
          </cell>
          <cell r="W82">
            <v>23.543307086614174</v>
          </cell>
          <cell r="X82">
            <v>508</v>
          </cell>
          <cell r="Y82">
            <v>20</v>
          </cell>
          <cell r="AA82">
            <v>0</v>
          </cell>
          <cell r="AC82" t="str">
            <v>560 x 480 (22.1" x 18.9")</v>
          </cell>
          <cell r="AD82">
            <v>4</v>
          </cell>
          <cell r="AE82" t="str">
            <v>左上 (中爐)</v>
          </cell>
          <cell r="AF82" t="str">
            <v>左下 (大爐)</v>
          </cell>
          <cell r="AG82" t="str">
            <v>右上 (中爐)</v>
          </cell>
          <cell r="AH82" t="str">
            <v>右下 (細爐)</v>
          </cell>
          <cell r="AJ82">
            <v>7.9200000000000008</v>
          </cell>
          <cell r="AK82">
            <v>14.4</v>
          </cell>
          <cell r="AL82">
            <v>7.9200000000000008</v>
          </cell>
          <cell r="AM82">
            <v>4.32</v>
          </cell>
          <cell r="AN82">
            <v>0</v>
          </cell>
          <cell r="AO82">
            <v>2.16</v>
          </cell>
          <cell r="AP82">
            <v>3.24</v>
          </cell>
          <cell r="AQ82">
            <v>2.16</v>
          </cell>
          <cell r="AR82">
            <v>1.08</v>
          </cell>
          <cell r="AS82">
            <v>0</v>
          </cell>
          <cell r="AT82">
            <v>2.2000000000000002</v>
          </cell>
          <cell r="AU82">
            <v>4</v>
          </cell>
          <cell r="AV82">
            <v>2.2000000000000002</v>
          </cell>
          <cell r="AW82">
            <v>1.2</v>
          </cell>
          <cell r="AY82">
            <v>0.6</v>
          </cell>
          <cell r="AZ82">
            <v>0.9</v>
          </cell>
          <cell r="BA82">
            <v>0.6</v>
          </cell>
          <cell r="BB82">
            <v>0.3</v>
          </cell>
          <cell r="BD82">
            <v>7515.1063829600007</v>
          </cell>
          <cell r="BE82">
            <v>13663.8297872</v>
          </cell>
          <cell r="BF82">
            <v>7515.1063829600007</v>
          </cell>
          <cell r="BG82">
            <v>4099.1489361599997</v>
          </cell>
          <cell r="BH82">
            <v>0</v>
          </cell>
          <cell r="BI82">
            <v>2049.5744680799999</v>
          </cell>
          <cell r="BJ82">
            <v>3074.3617021200002</v>
          </cell>
          <cell r="BK82">
            <v>2049.5744680799999</v>
          </cell>
          <cell r="BL82">
            <v>1024.7872340399999</v>
          </cell>
          <cell r="BM82">
            <v>0</v>
          </cell>
          <cell r="BN82">
            <v>2.0671200000000001</v>
          </cell>
          <cell r="BO82">
            <v>3.7584000000000004</v>
          </cell>
          <cell r="BP82">
            <v>2.0671200000000001</v>
          </cell>
          <cell r="BQ82">
            <v>1.1275200000000001</v>
          </cell>
          <cell r="BR82">
            <v>0</v>
          </cell>
          <cell r="BS82">
            <v>0.56376000000000004</v>
          </cell>
          <cell r="BT82">
            <v>0.84564000000000006</v>
          </cell>
          <cell r="BU82">
            <v>0.56376000000000004</v>
          </cell>
          <cell r="BV82">
            <v>0.28188000000000002</v>
          </cell>
          <cell r="BW82">
            <v>0</v>
          </cell>
          <cell r="BX82" t="str">
            <v>資料不詳</v>
          </cell>
          <cell r="BY82" t="str">
            <v>資料不詳</v>
          </cell>
          <cell r="BZ82" t="str">
            <v>資料不詳</v>
          </cell>
          <cell r="CA82" t="str">
            <v>資料不詳</v>
          </cell>
          <cell r="CC82" t="str">
            <v>(1) 三環火炒鑊爐頭，並附設炒鑊配合架。
(2) 《全密封式》爐頭設計，食物汁液不會流入爐內。
(3) 高級不銹鋼流線型面板，堅固耐用，清潔容易。</v>
          </cell>
          <cell r="CD82" t="str">
            <v>220V,13A</v>
          </cell>
          <cell r="CE82" t="str">
            <v>不適用</v>
          </cell>
          <cell r="CF82" t="str">
            <v>不適用</v>
          </cell>
          <cell r="CG82" t="str">
            <v>不銹鋼</v>
          </cell>
          <cell r="CH82" t="str">
            <v>旋鈕式</v>
          </cell>
          <cell r="CI82" t="str">
            <v>旋鈕式</v>
          </cell>
          <cell r="CJ82" t="str">
            <v>三環</v>
          </cell>
          <cell r="CK82" t="str">
            <v>單環</v>
          </cell>
          <cell r="CL82" t="str">
            <v>單環</v>
          </cell>
          <cell r="CM82" t="str">
            <v>單環</v>
          </cell>
          <cell r="CN82" t="str">
            <v>不適用</v>
          </cell>
          <cell r="CO82" t="str">
            <v>不適用</v>
          </cell>
          <cell r="CP82" t="str">
            <v>不適用</v>
          </cell>
          <cell r="CQ82" t="str">
            <v>不適用</v>
          </cell>
          <cell r="CR82" t="str">
            <v>長形連架 x 2</v>
          </cell>
          <cell r="CS82" t="str">
            <v>請按此處</v>
          </cell>
          <cell r="CT82" t="str">
            <v>請按此處</v>
          </cell>
          <cell r="CU82" t="str">
            <v>請按此處</v>
          </cell>
          <cell r="CV82">
            <v>9</v>
          </cell>
          <cell r="CW82">
            <v>19.8</v>
          </cell>
          <cell r="CX82" t="str">
            <v>**請注意事項**
如屬替換原有Tecnogas 400, 4S及604A型號而需修改廚柜面開孔，售價已包括此項收費。</v>
          </cell>
          <cell r="CY82" t="str">
            <v>氣喉接駁位：爐底後前方右邊</v>
          </cell>
        </row>
        <row r="83">
          <cell r="A83" t="str">
            <v>TNJB33-C-NEW</v>
          </cell>
          <cell r="B83" t="str">
            <v>停售</v>
          </cell>
          <cell r="E83" t="str">
            <v>TGC</v>
          </cell>
          <cell r="F83" t="str">
            <v>TNJB33-C (超勁火) 新版</v>
          </cell>
          <cell r="G83" t="str">
            <v>TNJB33-C (超勁火) 新版</v>
          </cell>
          <cell r="K83" t="str">
            <v>2010年1月8日</v>
          </cell>
          <cell r="L83" t="str">
            <v>2012年7月10日</v>
          </cell>
          <cell r="M83" t="str">
            <v>日本</v>
          </cell>
          <cell r="N83" t="str">
            <v>已停售</v>
          </cell>
          <cell r="O83" t="str">
            <v>請按此處</v>
          </cell>
          <cell r="P83">
            <v>66</v>
          </cell>
          <cell r="Q83">
            <v>2.598425196850394</v>
          </cell>
          <cell r="R83">
            <v>78</v>
          </cell>
          <cell r="S83">
            <v>3.0708661417322838</v>
          </cell>
          <cell r="T83">
            <v>121</v>
          </cell>
          <cell r="U83">
            <v>4.7637795275590555</v>
          </cell>
          <cell r="V83">
            <v>850</v>
          </cell>
          <cell r="W83">
            <v>33.464566929133859</v>
          </cell>
          <cell r="X83">
            <v>446</v>
          </cell>
          <cell r="Y83">
            <v>17.559055118110237</v>
          </cell>
          <cell r="Z83">
            <v>590</v>
          </cell>
          <cell r="AA83">
            <v>23.228346456692915</v>
          </cell>
          <cell r="AC83" t="str">
            <v>815 x 405 (32.1" x 15.9")</v>
          </cell>
          <cell r="AD83">
            <v>3</v>
          </cell>
          <cell r="AE83" t="str">
            <v>左</v>
          </cell>
          <cell r="AF83" t="str">
            <v>中</v>
          </cell>
          <cell r="AG83" t="str">
            <v>右</v>
          </cell>
          <cell r="AJ83">
            <v>20.88</v>
          </cell>
          <cell r="AK83">
            <v>6.48</v>
          </cell>
          <cell r="AL83">
            <v>20.88</v>
          </cell>
          <cell r="AM83">
            <v>0</v>
          </cell>
          <cell r="AN83">
            <v>0</v>
          </cell>
          <cell r="AO83">
            <v>1.08</v>
          </cell>
          <cell r="AP83">
            <v>0.72000000000000008</v>
          </cell>
          <cell r="AQ83">
            <v>1.08</v>
          </cell>
          <cell r="AR83">
            <v>0</v>
          </cell>
          <cell r="AS83">
            <v>0</v>
          </cell>
          <cell r="AT83">
            <v>5.8</v>
          </cell>
          <cell r="AU83">
            <v>1.8</v>
          </cell>
          <cell r="AV83">
            <v>5.8</v>
          </cell>
          <cell r="AY83">
            <v>0.3</v>
          </cell>
          <cell r="AZ83">
            <v>0.2</v>
          </cell>
          <cell r="BA83">
            <v>0.3</v>
          </cell>
          <cell r="BD83">
            <v>19812.553191439998</v>
          </cell>
          <cell r="BE83">
            <v>6148.7234042400005</v>
          </cell>
          <cell r="BF83">
            <v>19812.553191439998</v>
          </cell>
          <cell r="BG83">
            <v>0</v>
          </cell>
          <cell r="BH83">
            <v>0</v>
          </cell>
          <cell r="BI83">
            <v>1024.7872340399999</v>
          </cell>
          <cell r="BJ83">
            <v>683.19148936000011</v>
          </cell>
          <cell r="BK83">
            <v>1024.7872340399999</v>
          </cell>
          <cell r="BL83">
            <v>0</v>
          </cell>
          <cell r="BM83">
            <v>0</v>
          </cell>
          <cell r="BN83">
            <v>5.4496799999999999</v>
          </cell>
          <cell r="BO83">
            <v>1.6912800000000001</v>
          </cell>
          <cell r="BP83">
            <v>5.4496799999999999</v>
          </cell>
          <cell r="BQ83">
            <v>0</v>
          </cell>
          <cell r="BR83">
            <v>0</v>
          </cell>
          <cell r="BS83">
            <v>0.28188000000000002</v>
          </cell>
          <cell r="BT83">
            <v>0.18792000000000003</v>
          </cell>
          <cell r="BU83">
            <v>0.28188000000000002</v>
          </cell>
          <cell r="BV83">
            <v>0</v>
          </cell>
          <cell r="BW83">
            <v>0</v>
          </cell>
          <cell r="BX83" t="str">
            <v>可以</v>
          </cell>
          <cell r="BY83" t="str">
            <v>不可以</v>
          </cell>
          <cell r="BZ83" t="str">
            <v>可以</v>
          </cell>
          <cell r="CC83" t="str">
            <v>點紋﹝暗點﹞日本陶瓷玻璃，玻璃加上易潔塗層。
爐頭不可拆除清潔。</v>
          </cell>
          <cell r="CD83" t="str">
            <v>不適用</v>
          </cell>
          <cell r="CE83" t="str">
            <v>兩枚C型1.5V</v>
          </cell>
          <cell r="CF83" t="str">
            <v>爐底中前方</v>
          </cell>
          <cell r="CG83" t="str">
            <v>點紋黑色陶瓷玻璃 + 黑色鋁合金框架
點紋黑色陶瓷玻璃 + 銀色鋁合金框架</v>
          </cell>
          <cell r="CH83" t="str">
            <v>旋鈕式</v>
          </cell>
          <cell r="CI83" t="str">
            <v>旋鈕式</v>
          </cell>
          <cell r="CJ83" t="str">
            <v>雙環</v>
          </cell>
          <cell r="CK83" t="str">
            <v>單環</v>
          </cell>
          <cell r="CL83" t="str">
            <v>不適用</v>
          </cell>
          <cell r="CM83" t="str">
            <v>不適用</v>
          </cell>
          <cell r="CN83" t="str">
            <v>不適用</v>
          </cell>
          <cell r="CO83" t="str">
            <v>不適用</v>
          </cell>
          <cell r="CP83" t="str">
            <v>不適用</v>
          </cell>
          <cell r="CQ83" t="str">
            <v>不適用</v>
          </cell>
          <cell r="CR83" t="str">
            <v>圓形五邊承托架</v>
          </cell>
          <cell r="CS83" t="str">
            <v>請按此處</v>
          </cell>
          <cell r="CT83" t="str">
            <v>不適用</v>
          </cell>
          <cell r="CU83" t="str">
            <v>請按此處</v>
          </cell>
          <cell r="CV83">
            <v>20</v>
          </cell>
          <cell r="CW83">
            <v>44</v>
          </cell>
          <cell r="CX83" t="str">
            <v>(1) 低身爐架。
(2) 爐芯距離資料：由左爐爐芯至中間爐頭爐芯為 295mm (約11.6吋)，由右邊爐芯至中間爐頭爐芯為 295mm (約11.6吋)。</v>
          </cell>
          <cell r="CY83" t="str">
            <v>氣喉接駁位：爐底後方右角</v>
          </cell>
        </row>
        <row r="84">
          <cell r="A84" t="str">
            <v>MUZB11-G</v>
          </cell>
          <cell r="B84" t="str">
            <v>停售</v>
          </cell>
          <cell r="E84" t="str">
            <v>Meo</v>
          </cell>
          <cell r="F84" t="str">
            <v>MUZB11-G</v>
          </cell>
          <cell r="K84" t="str">
            <v>2010年2月11日</v>
          </cell>
          <cell r="L84" t="str">
            <v>2018年8月28日</v>
          </cell>
          <cell r="M84" t="str">
            <v>中國</v>
          </cell>
          <cell r="N84" t="str">
            <v>已停售</v>
          </cell>
          <cell r="P84">
            <v>60</v>
          </cell>
          <cell r="Q84">
            <v>2.3622047244094491</v>
          </cell>
          <cell r="R84">
            <v>68</v>
          </cell>
          <cell r="S84">
            <v>2.6771653543307088</v>
          </cell>
          <cell r="U84">
            <v>0</v>
          </cell>
          <cell r="V84">
            <v>330</v>
          </cell>
          <cell r="W84">
            <v>12.992125984251969</v>
          </cell>
          <cell r="X84">
            <v>500</v>
          </cell>
          <cell r="Y84">
            <v>19.685039370078741</v>
          </cell>
          <cell r="AA84">
            <v>0</v>
          </cell>
          <cell r="AC84" t="str">
            <v>270 x 470 (10.6" x 18.5")</v>
          </cell>
          <cell r="AD84">
            <v>1</v>
          </cell>
          <cell r="AJ84">
            <v>17.28</v>
          </cell>
          <cell r="AK84">
            <v>0</v>
          </cell>
          <cell r="AL84">
            <v>0</v>
          </cell>
          <cell r="AM84">
            <v>0</v>
          </cell>
          <cell r="AN84">
            <v>0</v>
          </cell>
          <cell r="AO84">
            <v>1.4400000000000002</v>
          </cell>
          <cell r="AP84">
            <v>0</v>
          </cell>
          <cell r="AQ84">
            <v>0</v>
          </cell>
          <cell r="AR84">
            <v>0</v>
          </cell>
          <cell r="AS84">
            <v>0</v>
          </cell>
          <cell r="AT84">
            <v>4.8</v>
          </cell>
          <cell r="AY84">
            <v>0.4</v>
          </cell>
          <cell r="BD84">
            <v>16396.595744639999</v>
          </cell>
          <cell r="BE84">
            <v>0</v>
          </cell>
          <cell r="BF84">
            <v>0</v>
          </cell>
          <cell r="BG84">
            <v>0</v>
          </cell>
          <cell r="BH84">
            <v>0</v>
          </cell>
          <cell r="BI84">
            <v>1366.3829787200002</v>
          </cell>
          <cell r="BJ84">
            <v>0</v>
          </cell>
          <cell r="BK84">
            <v>0</v>
          </cell>
          <cell r="BL84">
            <v>0</v>
          </cell>
          <cell r="BM84">
            <v>0</v>
          </cell>
          <cell r="BN84">
            <v>4.5100800000000003</v>
          </cell>
          <cell r="BO84">
            <v>0</v>
          </cell>
          <cell r="BP84">
            <v>0</v>
          </cell>
          <cell r="BQ84">
            <v>0</v>
          </cell>
          <cell r="BR84">
            <v>0</v>
          </cell>
          <cell r="BS84">
            <v>0.37584000000000006</v>
          </cell>
          <cell r="BT84">
            <v>0</v>
          </cell>
          <cell r="BU84">
            <v>0</v>
          </cell>
          <cell r="BV84">
            <v>0</v>
          </cell>
          <cell r="BW84">
            <v>0</v>
          </cell>
          <cell r="BX84" t="str">
            <v>可以</v>
          </cell>
          <cell r="CC84" t="str">
            <v>(1) 特別爐架支承設計，器皿重量由爐身承托，減少玻璃受壓力，而且備有爐頭隔熱裝置，防止若回火時，玻璃被加熱，提升玻璃耐用性。
(2) 玻璃底加上保護膜，減少若玻璃破裂時，由碎片產生的危險。
(3) 金色銅合金爐頭配合銀色爐頭座。</v>
          </cell>
          <cell r="CD84" t="str">
            <v>不適用</v>
          </cell>
          <cell r="CE84" t="str">
            <v>一枚D型1.5V</v>
          </cell>
          <cell r="CF84" t="str">
            <v>爐底右前方</v>
          </cell>
          <cell r="CG84" t="str">
            <v>黑色強化玻璃</v>
          </cell>
          <cell r="CH84" t="str">
            <v>旋鈕式</v>
          </cell>
          <cell r="CI84" t="str">
            <v>旋鈕式</v>
          </cell>
          <cell r="CJ84" t="str">
            <v>雙環</v>
          </cell>
          <cell r="CK84" t="str">
            <v>不適用</v>
          </cell>
          <cell r="CL84" t="str">
            <v>不適用</v>
          </cell>
          <cell r="CM84" t="str">
            <v>不適用</v>
          </cell>
          <cell r="CN84" t="str">
            <v>不適用</v>
          </cell>
          <cell r="CO84" t="str">
            <v>不適用</v>
          </cell>
          <cell r="CP84" t="str">
            <v>不適用</v>
          </cell>
          <cell r="CQ84" t="str">
            <v>不適用</v>
          </cell>
          <cell r="CR84" t="str">
            <v>圓形五邊承托架</v>
          </cell>
          <cell r="CS84" t="str">
            <v>請按此處</v>
          </cell>
          <cell r="CT84" t="str">
            <v>請按此處</v>
          </cell>
          <cell r="CU84" t="str">
            <v>請按此處</v>
          </cell>
          <cell r="CW84">
            <v>0</v>
          </cell>
          <cell r="CX84"/>
          <cell r="DF84"/>
          <cell r="DG84"/>
        </row>
        <row r="85">
          <cell r="A85" t="str">
            <v>rb2gb green</v>
          </cell>
          <cell r="B85" t="str">
            <v>停售</v>
          </cell>
          <cell r="E85" t="str">
            <v>TGC</v>
          </cell>
          <cell r="H85" t="str">
            <v>RB2GB (顏色玻璃)</v>
          </cell>
          <cell r="K85" t="str">
            <v>2010年3月22日 (綠色) / 2010月12月6日 (紅色/黃色)</v>
          </cell>
          <cell r="L85" t="str">
            <v>2012年5月23日</v>
          </cell>
          <cell r="M85" t="str">
            <v>台灣</v>
          </cell>
          <cell r="N85" t="str">
            <v>已停售</v>
          </cell>
          <cell r="O85" t="str">
            <v>請按此處</v>
          </cell>
          <cell r="P85">
            <v>55</v>
          </cell>
          <cell r="Q85">
            <v>2.1653543307086616</v>
          </cell>
          <cell r="R85">
            <v>63</v>
          </cell>
          <cell r="S85">
            <v>2.4803149606299213</v>
          </cell>
          <cell r="U85">
            <v>0</v>
          </cell>
          <cell r="V85">
            <v>750</v>
          </cell>
          <cell r="W85">
            <v>29.527559055118111</v>
          </cell>
          <cell r="X85">
            <v>450</v>
          </cell>
          <cell r="Y85">
            <v>17.716535433070867</v>
          </cell>
          <cell r="AA85">
            <v>0</v>
          </cell>
          <cell r="AC85" t="str">
            <v>670 x 350 (26.4" x 13.8")</v>
          </cell>
          <cell r="AD85">
            <v>2</v>
          </cell>
          <cell r="AE85" t="str">
            <v>左</v>
          </cell>
          <cell r="AF85" t="str">
            <v>右</v>
          </cell>
          <cell r="AJ85">
            <v>17.28</v>
          </cell>
          <cell r="AK85">
            <v>17.28</v>
          </cell>
          <cell r="AL85">
            <v>0</v>
          </cell>
          <cell r="AM85">
            <v>0</v>
          </cell>
          <cell r="AN85">
            <v>0</v>
          </cell>
          <cell r="AO85">
            <v>3.24</v>
          </cell>
          <cell r="AP85">
            <v>3.24</v>
          </cell>
          <cell r="AQ85">
            <v>0</v>
          </cell>
          <cell r="AR85">
            <v>0</v>
          </cell>
          <cell r="AS85">
            <v>0</v>
          </cell>
          <cell r="AT85">
            <v>4.8</v>
          </cell>
          <cell r="AU85">
            <v>4.8</v>
          </cell>
          <cell r="AY85">
            <v>0.9</v>
          </cell>
          <cell r="AZ85">
            <v>0.9</v>
          </cell>
          <cell r="BD85">
            <v>16396.595744639999</v>
          </cell>
          <cell r="BE85">
            <v>16396.595744639999</v>
          </cell>
          <cell r="BF85">
            <v>0</v>
          </cell>
          <cell r="BG85">
            <v>0</v>
          </cell>
          <cell r="BH85">
            <v>0</v>
          </cell>
          <cell r="BI85">
            <v>3074.3617021200002</v>
          </cell>
          <cell r="BJ85">
            <v>3074.3617021200002</v>
          </cell>
          <cell r="BK85">
            <v>0</v>
          </cell>
          <cell r="BL85">
            <v>0</v>
          </cell>
          <cell r="BM85">
            <v>0</v>
          </cell>
          <cell r="BN85">
            <v>4.5100800000000003</v>
          </cell>
          <cell r="BO85">
            <v>4.5100800000000003</v>
          </cell>
          <cell r="BP85">
            <v>0</v>
          </cell>
          <cell r="BQ85">
            <v>0</v>
          </cell>
          <cell r="BR85">
            <v>0</v>
          </cell>
          <cell r="BS85">
            <v>0.84564000000000006</v>
          </cell>
          <cell r="BT85">
            <v>0.84564000000000006</v>
          </cell>
          <cell r="BU85">
            <v>0</v>
          </cell>
          <cell r="BV85">
            <v>0</v>
          </cell>
          <cell r="BW85">
            <v>0</v>
          </cell>
          <cell r="BX85" t="str">
            <v>不可以</v>
          </cell>
          <cell r="BY85" t="str">
            <v>不可以</v>
          </cell>
          <cell r="CC85" t="str">
            <v>(1) 金色爐頭。
(2) 玻璃製造商：肖特 Schott。
(3) 玻璃厚度 8 毫米。</v>
          </cell>
          <cell r="CD85" t="str">
            <v>不適用</v>
          </cell>
          <cell r="CE85" t="str">
            <v>一枚D型1.5V</v>
          </cell>
          <cell r="CF85" t="str">
            <v>爐底中央近右邊</v>
          </cell>
          <cell r="CG85" t="str">
            <v>綠色強化玻璃、紅色強化玻璃、
黃色強化玻璃、藍色強化玻璃</v>
          </cell>
          <cell r="CH85" t="str">
            <v>旋鈕式</v>
          </cell>
          <cell r="CI85" t="str">
            <v>旋鈕式</v>
          </cell>
          <cell r="CJ85" t="str">
            <v>雙環</v>
          </cell>
          <cell r="CK85" t="str">
            <v>不適用</v>
          </cell>
          <cell r="CL85" t="str">
            <v>不適用</v>
          </cell>
          <cell r="CM85" t="str">
            <v>不適用</v>
          </cell>
          <cell r="CN85" t="str">
            <v>不適用</v>
          </cell>
          <cell r="CO85" t="str">
            <v>不適用</v>
          </cell>
          <cell r="CP85" t="str">
            <v>不適用</v>
          </cell>
          <cell r="CQ85" t="str">
            <v>不適用</v>
          </cell>
          <cell r="CR85" t="str">
            <v>圓形五邊承托架</v>
          </cell>
          <cell r="CS85" t="str">
            <v>請按此處 ( 綠色 )</v>
          </cell>
          <cell r="CT85" t="str">
            <v>請按此處 ( 紅色 / 黃色 )</v>
          </cell>
          <cell r="CU85" t="str">
            <v>不適用</v>
          </cell>
          <cell r="CV85">
            <v>17</v>
          </cell>
          <cell r="CW85">
            <v>37.400000000000006</v>
          </cell>
          <cell r="CX85"/>
        </row>
        <row r="86">
          <cell r="A86" t="str">
            <v>srdb931</v>
          </cell>
          <cell r="B86" t="str">
            <v>停售</v>
          </cell>
          <cell r="E86" t="str">
            <v>Simpa</v>
          </cell>
          <cell r="F86" t="str">
            <v>SRDB931</v>
          </cell>
          <cell r="K86" t="str">
            <v>2010年7月15日</v>
          </cell>
          <cell r="L86" t="str">
            <v>2013年9月26日</v>
          </cell>
          <cell r="M86" t="str">
            <v>印尼</v>
          </cell>
          <cell r="N86" t="str">
            <v>已停售</v>
          </cell>
          <cell r="O86" t="str">
            <v>請按此處</v>
          </cell>
          <cell r="P86">
            <v>65</v>
          </cell>
          <cell r="Q86">
            <v>2.5590551181102366</v>
          </cell>
          <cell r="R86">
            <v>77</v>
          </cell>
          <cell r="S86">
            <v>3.0314960629921264</v>
          </cell>
          <cell r="U86">
            <v>0</v>
          </cell>
          <cell r="V86">
            <v>867</v>
          </cell>
          <cell r="W86">
            <v>34.133858267716541</v>
          </cell>
          <cell r="X86">
            <v>507</v>
          </cell>
          <cell r="Y86">
            <v>19.960629921259844</v>
          </cell>
          <cell r="AA86">
            <v>0</v>
          </cell>
          <cell r="AC86" t="str">
            <v>835 x 475 (32.9" x 18.7")</v>
          </cell>
          <cell r="AD86">
            <v>3</v>
          </cell>
          <cell r="AE86" t="str">
            <v>左 (炒鑊)</v>
          </cell>
          <cell r="AF86" t="str">
            <v>右上 (中爐)</v>
          </cell>
          <cell r="AG86" t="str">
            <v>右下 (中爐)</v>
          </cell>
          <cell r="AJ86">
            <v>18.720000000000002</v>
          </cell>
          <cell r="AK86">
            <v>10.44</v>
          </cell>
          <cell r="AL86">
            <v>10.44</v>
          </cell>
          <cell r="AM86">
            <v>0</v>
          </cell>
          <cell r="AN86">
            <v>0</v>
          </cell>
          <cell r="AO86">
            <v>1.08</v>
          </cell>
          <cell r="AP86">
            <v>2.16</v>
          </cell>
          <cell r="AQ86">
            <v>2.16</v>
          </cell>
          <cell r="AR86">
            <v>0</v>
          </cell>
          <cell r="AS86">
            <v>0</v>
          </cell>
          <cell r="AT86">
            <v>5.2</v>
          </cell>
          <cell r="AU86">
            <v>2.9</v>
          </cell>
          <cell r="AV86">
            <v>2.9</v>
          </cell>
          <cell r="AY86">
            <v>0.3</v>
          </cell>
          <cell r="AZ86">
            <v>0.6</v>
          </cell>
          <cell r="BA86">
            <v>0.6</v>
          </cell>
          <cell r="BD86">
            <v>17762.97872336</v>
          </cell>
          <cell r="BE86">
            <v>9906.276595719999</v>
          </cell>
          <cell r="BF86">
            <v>9906.276595719999</v>
          </cell>
          <cell r="BG86">
            <v>0</v>
          </cell>
          <cell r="BH86">
            <v>0</v>
          </cell>
          <cell r="BI86">
            <v>1024.7872340399999</v>
          </cell>
          <cell r="BJ86">
            <v>2049.5744680799999</v>
          </cell>
          <cell r="BK86">
            <v>2049.5744680799999</v>
          </cell>
          <cell r="BL86">
            <v>0</v>
          </cell>
          <cell r="BM86">
            <v>0</v>
          </cell>
          <cell r="BN86">
            <v>4.8859200000000005</v>
          </cell>
          <cell r="BO86">
            <v>2.7248399999999999</v>
          </cell>
          <cell r="BP86">
            <v>2.7248399999999999</v>
          </cell>
          <cell r="BQ86">
            <v>0</v>
          </cell>
          <cell r="BR86">
            <v>0</v>
          </cell>
          <cell r="BS86">
            <v>0.28188000000000002</v>
          </cell>
          <cell r="BT86">
            <v>0.56376000000000004</v>
          </cell>
          <cell r="BU86">
            <v>0.56376000000000004</v>
          </cell>
          <cell r="BV86">
            <v>0</v>
          </cell>
          <cell r="BW86">
            <v>0</v>
          </cell>
          <cell r="BX86" t="str">
            <v>可以</v>
          </cell>
          <cell r="BY86" t="str">
            <v>不可以</v>
          </cell>
          <cell r="BZ86" t="str">
            <v>不可以</v>
          </cell>
          <cell r="CC86" t="str">
            <v>配備人體工學設計的S形旋鈕</v>
          </cell>
          <cell r="CD86" t="str">
            <v>不適用</v>
          </cell>
          <cell r="CE86" t="str">
            <v>一枚C型1.5V</v>
          </cell>
          <cell r="CF86" t="str">
            <v>資料不詳</v>
          </cell>
          <cell r="CG86" t="str">
            <v xml:space="preserve">白色搪瓷
不銹鋼 </v>
          </cell>
          <cell r="CH86" t="str">
            <v>旋鈕式</v>
          </cell>
          <cell r="CI86" t="str">
            <v>旋鈕式</v>
          </cell>
          <cell r="CJ86" t="str">
            <v>雙環</v>
          </cell>
          <cell r="CK86" t="str">
            <v>單環</v>
          </cell>
          <cell r="CL86" t="str">
            <v>單環</v>
          </cell>
          <cell r="CM86" t="str">
            <v>不適用</v>
          </cell>
          <cell r="CN86" t="str">
            <v>不適用</v>
          </cell>
          <cell r="CO86" t="str">
            <v>不適用</v>
          </cell>
          <cell r="CP86" t="str">
            <v>不適用</v>
          </cell>
          <cell r="CQ86" t="str">
            <v>不適用</v>
          </cell>
          <cell r="CR86" t="str">
            <v>長形連架</v>
          </cell>
          <cell r="CS86" t="str">
            <v>請按此處</v>
          </cell>
          <cell r="CT86" t="str">
            <v>請按此處</v>
          </cell>
          <cell r="CU86" t="str">
            <v>不適用</v>
          </cell>
          <cell r="CV86">
            <v>13.5</v>
          </cell>
          <cell r="CW86">
            <v>29.700000000000003</v>
          </cell>
          <cell r="CX86" t="str">
            <v>由枱面至爐架頂部 5.8cm及由爐面至爐架頂部 3.8cm。</v>
          </cell>
        </row>
        <row r="87">
          <cell r="A87" t="str">
            <v>srdb941</v>
          </cell>
          <cell r="B87" t="str">
            <v>停售</v>
          </cell>
          <cell r="E87" t="str">
            <v>Simpa</v>
          </cell>
          <cell r="F87" t="str">
            <v>SRDB941</v>
          </cell>
          <cell r="K87" t="str">
            <v>2010年7月15日</v>
          </cell>
          <cell r="L87" t="str">
            <v>2013年10月11日</v>
          </cell>
          <cell r="M87" t="str">
            <v>印尼</v>
          </cell>
          <cell r="N87" t="str">
            <v>已停售</v>
          </cell>
          <cell r="O87" t="str">
            <v>請按此處</v>
          </cell>
          <cell r="P87">
            <v>65</v>
          </cell>
          <cell r="Q87">
            <v>2.5590551181102366</v>
          </cell>
          <cell r="R87">
            <v>77</v>
          </cell>
          <cell r="S87">
            <v>3.0314960629921264</v>
          </cell>
          <cell r="U87">
            <v>0</v>
          </cell>
          <cell r="V87">
            <v>867</v>
          </cell>
          <cell r="W87">
            <v>34.133858267716541</v>
          </cell>
          <cell r="X87">
            <v>507</v>
          </cell>
          <cell r="Y87">
            <v>19.960629921259844</v>
          </cell>
          <cell r="AA87">
            <v>0</v>
          </cell>
          <cell r="AC87" t="str">
            <v>835 x 475 (32.9" x 18.7")</v>
          </cell>
          <cell r="AD87">
            <v>4</v>
          </cell>
          <cell r="AE87" t="str">
            <v>左上 (細爐)</v>
          </cell>
          <cell r="AF87" t="str">
            <v>左下 (炒鑊)</v>
          </cell>
          <cell r="AG87" t="str">
            <v>右上 (中爐)</v>
          </cell>
          <cell r="AH87" t="str">
            <v>右下 (中爐)</v>
          </cell>
          <cell r="AJ87">
            <v>5.4</v>
          </cell>
          <cell r="AK87">
            <v>18.720000000000002</v>
          </cell>
          <cell r="AL87">
            <v>10.44</v>
          </cell>
          <cell r="AM87">
            <v>10.44</v>
          </cell>
          <cell r="AN87">
            <v>0</v>
          </cell>
          <cell r="AO87">
            <v>1.08</v>
          </cell>
          <cell r="AP87">
            <v>1.08</v>
          </cell>
          <cell r="AQ87">
            <v>2.16</v>
          </cell>
          <cell r="AR87">
            <v>2.16</v>
          </cell>
          <cell r="AS87">
            <v>0</v>
          </cell>
          <cell r="AT87">
            <v>1.5</v>
          </cell>
          <cell r="AU87">
            <v>5.2</v>
          </cell>
          <cell r="AV87">
            <v>2.9</v>
          </cell>
          <cell r="AW87">
            <v>2.9</v>
          </cell>
          <cell r="AY87">
            <v>0.3</v>
          </cell>
          <cell r="AZ87">
            <v>0.3</v>
          </cell>
          <cell r="BA87">
            <v>0.6</v>
          </cell>
          <cell r="BB87">
            <v>0.6</v>
          </cell>
          <cell r="BD87">
            <v>5123.9361702000006</v>
          </cell>
          <cell r="BE87">
            <v>17762.97872336</v>
          </cell>
          <cell r="BF87">
            <v>9906.276595719999</v>
          </cell>
          <cell r="BG87">
            <v>9906.276595719999</v>
          </cell>
          <cell r="BH87">
            <v>0</v>
          </cell>
          <cell r="BI87">
            <v>1024.7872340399999</v>
          </cell>
          <cell r="BJ87">
            <v>1024.7872340399999</v>
          </cell>
          <cell r="BK87">
            <v>2049.5744680799999</v>
          </cell>
          <cell r="BL87">
            <v>2049.5744680799999</v>
          </cell>
          <cell r="BM87">
            <v>0</v>
          </cell>
          <cell r="BN87">
            <v>1.4094000000000002</v>
          </cell>
          <cell r="BO87">
            <v>4.8859200000000005</v>
          </cell>
          <cell r="BP87">
            <v>2.7248399999999999</v>
          </cell>
          <cell r="BQ87">
            <v>2.7248399999999999</v>
          </cell>
          <cell r="BR87">
            <v>0</v>
          </cell>
          <cell r="BS87">
            <v>0.28188000000000002</v>
          </cell>
          <cell r="BT87">
            <v>0.28188000000000002</v>
          </cell>
          <cell r="BU87">
            <v>0.56376000000000004</v>
          </cell>
          <cell r="BV87">
            <v>0.56376000000000004</v>
          </cell>
          <cell r="BW87">
            <v>0</v>
          </cell>
          <cell r="BX87" t="str">
            <v>不可以</v>
          </cell>
          <cell r="BY87" t="str">
            <v>可以</v>
          </cell>
          <cell r="BZ87" t="str">
            <v>不可以</v>
          </cell>
          <cell r="CA87" t="str">
            <v>不可以</v>
          </cell>
          <cell r="CC87" t="str">
            <v>配備人體工學設計的S形旋鈕</v>
          </cell>
          <cell r="CD87" t="str">
            <v>不適用</v>
          </cell>
          <cell r="CE87" t="str">
            <v>兩枚D型1.5V</v>
          </cell>
          <cell r="CF87" t="str">
            <v>資料不詳</v>
          </cell>
          <cell r="CG87" t="str">
            <v>白色搪瓷
不銹鋼</v>
          </cell>
          <cell r="CH87" t="str">
            <v>旋鈕式</v>
          </cell>
          <cell r="CI87" t="str">
            <v>旋鈕式</v>
          </cell>
          <cell r="CJ87" t="str">
            <v>雙環</v>
          </cell>
          <cell r="CK87" t="str">
            <v>單環</v>
          </cell>
          <cell r="CL87" t="str">
            <v>單環</v>
          </cell>
          <cell r="CM87" t="str">
            <v>單環</v>
          </cell>
          <cell r="CN87" t="str">
            <v>不適用</v>
          </cell>
          <cell r="CO87" t="str">
            <v>不適用</v>
          </cell>
          <cell r="CP87" t="str">
            <v>不適用</v>
          </cell>
          <cell r="CQ87" t="str">
            <v>不適用</v>
          </cell>
          <cell r="CR87" t="str">
            <v>長形連架</v>
          </cell>
          <cell r="CS87" t="str">
            <v>請按此處</v>
          </cell>
          <cell r="CT87" t="str">
            <v>請按此處</v>
          </cell>
          <cell r="CU87" t="str">
            <v>不適用</v>
          </cell>
          <cell r="CV87">
            <v>14</v>
          </cell>
          <cell r="CW87">
            <v>30.800000000000004</v>
          </cell>
          <cell r="CX87"/>
        </row>
        <row r="88">
          <cell r="A88" t="str">
            <v>trtb72lt</v>
          </cell>
          <cell r="B88" t="str">
            <v>現售</v>
          </cell>
          <cell r="D88" t="str">
            <v>Standard Drawing: WDE keyword: TRTB72LT</v>
          </cell>
          <cell r="E88" t="str">
            <v>TGC</v>
          </cell>
          <cell r="F88" t="str">
            <v>TRTB72LT-C 蓮芯火</v>
          </cell>
          <cell r="G88" t="str">
            <v>R72TB / R72TC - 左手面駁口</v>
          </cell>
          <cell r="H88" t="str">
            <v>TRTB72LT-C 蓮芯火</v>
          </cell>
          <cell r="I88" t="str">
            <v>請按此處</v>
          </cell>
          <cell r="J88" t="str">
            <v>說明書</v>
          </cell>
          <cell r="K88" t="str">
            <v>2010年10月14日</v>
          </cell>
          <cell r="M88" t="str">
            <v>台灣</v>
          </cell>
          <cell r="N88">
            <v>7180</v>
          </cell>
          <cell r="O88" t="str">
            <v>請按此處</v>
          </cell>
          <cell r="P88">
            <v>55</v>
          </cell>
          <cell r="Q88">
            <v>2.1653543307086616</v>
          </cell>
          <cell r="R88">
            <v>64</v>
          </cell>
          <cell r="S88">
            <v>2.5196850393700787</v>
          </cell>
          <cell r="T88">
            <v>108.5</v>
          </cell>
          <cell r="U88">
            <v>4.271653543307087</v>
          </cell>
          <cell r="V88">
            <v>746</v>
          </cell>
          <cell r="W88">
            <v>29.370078740157481</v>
          </cell>
          <cell r="X88">
            <v>440</v>
          </cell>
          <cell r="Y88">
            <v>17.322834645669293</v>
          </cell>
          <cell r="Z88">
            <v>470</v>
          </cell>
          <cell r="AA88">
            <v>18.503937007874018</v>
          </cell>
          <cell r="AC88" t="str">
            <v>703 x 403 (27.7" x 15.9")</v>
          </cell>
          <cell r="AD88">
            <v>2</v>
          </cell>
          <cell r="AE88" t="str">
            <v>左</v>
          </cell>
          <cell r="AF88" t="str">
            <v>右</v>
          </cell>
          <cell r="AJ88">
            <v>19.079999999999998</v>
          </cell>
          <cell r="AK88">
            <v>19.079999999999998</v>
          </cell>
          <cell r="AL88"/>
          <cell r="AM88"/>
          <cell r="AN88"/>
          <cell r="AO88">
            <v>1.08</v>
          </cell>
          <cell r="AP88">
            <v>1.08</v>
          </cell>
          <cell r="AQ88"/>
          <cell r="AR88"/>
          <cell r="AS88"/>
          <cell r="AT88">
            <v>5.3</v>
          </cell>
          <cell r="AU88">
            <v>5.3</v>
          </cell>
          <cell r="AY88">
            <v>0.3</v>
          </cell>
          <cell r="AZ88">
            <v>0.3</v>
          </cell>
          <cell r="BD88">
            <v>18104.574468039998</v>
          </cell>
          <cell r="BE88">
            <v>18104.574468039998</v>
          </cell>
          <cell r="BF88"/>
          <cell r="BG88"/>
          <cell r="BH88"/>
          <cell r="BI88">
            <v>1024.7872340399999</v>
          </cell>
          <cell r="BJ88">
            <v>1024.7872340399999</v>
          </cell>
          <cell r="BK88"/>
          <cell r="BL88"/>
          <cell r="BM88"/>
          <cell r="BN88">
            <v>4.9798799999999996</v>
          </cell>
          <cell r="BO88">
            <v>4.9798799999999996</v>
          </cell>
          <cell r="BP88">
            <v>0</v>
          </cell>
          <cell r="BQ88">
            <v>0</v>
          </cell>
          <cell r="BR88">
            <v>0</v>
          </cell>
          <cell r="BS88">
            <v>0.28188000000000002</v>
          </cell>
          <cell r="BT88">
            <v>0.28188000000000002</v>
          </cell>
          <cell r="BU88">
            <v>0</v>
          </cell>
          <cell r="BV88">
            <v>0</v>
          </cell>
          <cell r="BW88">
            <v>0</v>
          </cell>
          <cell r="BX88" t="str">
            <v>不可以</v>
          </cell>
          <cell r="BY88" t="str">
            <v>不可以</v>
          </cell>
          <cell r="CC88" t="str">
            <v>(1) 雙層爐頭設計，可獨立調節下層火。
(2) 密封式爐頭。
(3) 低身鑄鐵爐架。</v>
          </cell>
          <cell r="CD88" t="str">
            <v>不適用</v>
          </cell>
          <cell r="CE88" t="str">
            <v>兩枚D型1.5V</v>
          </cell>
          <cell r="CF88" t="str">
            <v>爐底中央</v>
          </cell>
          <cell r="CG88" t="str">
            <v>黑色陶瓷玻璃</v>
          </cell>
          <cell r="CH88" t="str">
            <v>旋鈕式</v>
          </cell>
          <cell r="CI88" t="str">
            <v>旋鈕式</v>
          </cell>
          <cell r="CJ88" t="str">
            <v>單環 x 2</v>
          </cell>
          <cell r="CK88" t="str">
            <v>不適用</v>
          </cell>
          <cell r="CL88" t="str">
            <v>不適用</v>
          </cell>
          <cell r="CM88" t="str">
            <v>不適用</v>
          </cell>
          <cell r="CN88" t="str">
            <v>不適用</v>
          </cell>
          <cell r="CO88" t="str">
            <v>不適用</v>
          </cell>
          <cell r="CP88" t="str">
            <v>不適用</v>
          </cell>
          <cell r="CQ88" t="str">
            <v>不適用</v>
          </cell>
          <cell r="CR88" t="str">
            <v>圓形六邊承托架</v>
          </cell>
          <cell r="CS88" t="str">
            <v>請按此處</v>
          </cell>
          <cell r="CT88" t="str">
            <v>請按此處</v>
          </cell>
          <cell r="CU88" t="str">
            <v>請按此處</v>
          </cell>
          <cell r="CV88">
            <v>12.5</v>
          </cell>
          <cell r="CW88">
            <v>27.500000000000004</v>
          </cell>
          <cell r="CX88"/>
          <cell r="CY88" t="str">
            <v>講義</v>
          </cell>
          <cell r="DF88" t="str">
            <v>貨源正常</v>
          </cell>
          <cell r="DG88" t="str">
            <v>https://goo.gl/XwNZVL</v>
          </cell>
        </row>
        <row r="89">
          <cell r="A89" t="str">
            <v>trjb72mt</v>
          </cell>
          <cell r="E89" t="str">
            <v>TGC</v>
          </cell>
          <cell r="F89" t="str">
            <v>TRJB72MT-C</v>
          </cell>
          <cell r="M89" t="str">
            <v>日本</v>
          </cell>
          <cell r="O89" t="str">
            <v>請按此處</v>
          </cell>
          <cell r="P89">
            <v>54</v>
          </cell>
          <cell r="Q89">
            <v>2.1259842519685042</v>
          </cell>
          <cell r="R89">
            <v>66</v>
          </cell>
          <cell r="S89">
            <v>2.598425196850394</v>
          </cell>
          <cell r="T89">
            <v>119</v>
          </cell>
          <cell r="U89">
            <v>4.6850393700787407</v>
          </cell>
          <cell r="V89">
            <v>737</v>
          </cell>
          <cell r="W89">
            <v>29.015748031496063</v>
          </cell>
          <cell r="X89">
            <v>438</v>
          </cell>
          <cell r="Y89">
            <v>17.244094488188978</v>
          </cell>
          <cell r="AA89">
            <v>0</v>
          </cell>
          <cell r="AC89" t="str">
            <v>703 x 403 (27.7" x 15.9")</v>
          </cell>
          <cell r="AD89">
            <v>2</v>
          </cell>
          <cell r="AE89" t="str">
            <v>左</v>
          </cell>
          <cell r="AF89" t="str">
            <v>右</v>
          </cell>
          <cell r="AJ89">
            <v>20.88</v>
          </cell>
          <cell r="AK89">
            <v>20.88</v>
          </cell>
          <cell r="AL89"/>
          <cell r="AM89"/>
          <cell r="AN89"/>
          <cell r="AO89"/>
          <cell r="AP89"/>
          <cell r="AQ89"/>
          <cell r="AR89"/>
          <cell r="AS89"/>
          <cell r="AT89">
            <v>5.8</v>
          </cell>
          <cell r="AU89">
            <v>5.8</v>
          </cell>
          <cell r="BD89">
            <v>19812.553191439998</v>
          </cell>
          <cell r="BE89">
            <v>19812.553191439998</v>
          </cell>
          <cell r="BF89"/>
          <cell r="BG89"/>
          <cell r="BH89"/>
          <cell r="BI89"/>
          <cell r="BJ89"/>
          <cell r="BK89"/>
          <cell r="BL89"/>
          <cell r="BM89"/>
          <cell r="BN89">
            <v>5.4496799999999999</v>
          </cell>
          <cell r="BO89">
            <v>5.4496799999999999</v>
          </cell>
          <cell r="BP89">
            <v>0</v>
          </cell>
          <cell r="BQ89">
            <v>0</v>
          </cell>
          <cell r="BR89">
            <v>0</v>
          </cell>
          <cell r="BS89">
            <v>0</v>
          </cell>
          <cell r="BT89">
            <v>0</v>
          </cell>
          <cell r="BU89">
            <v>0</v>
          </cell>
          <cell r="BV89">
            <v>0</v>
          </cell>
          <cell r="BW89">
            <v>0</v>
          </cell>
          <cell r="BX89" t="str">
            <v>可以</v>
          </cell>
          <cell r="BY89" t="str">
            <v>可以</v>
          </cell>
          <cell r="CD89" t="str">
            <v>不適用</v>
          </cell>
          <cell r="CE89" t="str">
            <v>兩枚D型1.5V</v>
          </cell>
          <cell r="CF89" t="str">
            <v>爐底中央</v>
          </cell>
          <cell r="CG89" t="str">
            <v>黑色陶瓷玻璃配黑色鋁合金框架
黑色陶瓷玻璃配銀色鋁合金框架</v>
          </cell>
          <cell r="CH89" t="str">
            <v>旋鈕式</v>
          </cell>
          <cell r="CI89" t="str">
            <v>旋鈕式</v>
          </cell>
          <cell r="CJ89" t="str">
            <v>雙環 x 2</v>
          </cell>
          <cell r="CK89" t="str">
            <v>不適用</v>
          </cell>
          <cell r="CL89" t="str">
            <v>不適用</v>
          </cell>
          <cell r="CM89" t="str">
            <v>不適用</v>
          </cell>
          <cell r="CN89" t="str">
            <v>不適用</v>
          </cell>
          <cell r="CO89" t="str">
            <v>不適用</v>
          </cell>
          <cell r="CP89" t="str">
            <v>不適用</v>
          </cell>
          <cell r="CQ89" t="str">
            <v>不適用</v>
          </cell>
          <cell r="CR89" t="str">
            <v>圓形五邊承托架</v>
          </cell>
          <cell r="CS89" t="str">
            <v>請按此處</v>
          </cell>
          <cell r="CT89" t="str">
            <v>不適用</v>
          </cell>
          <cell r="CU89" t="str">
            <v>不適用</v>
          </cell>
          <cell r="CV89">
            <v>17.5</v>
          </cell>
          <cell r="CW89">
            <v>38.5</v>
          </cell>
        </row>
        <row r="90">
          <cell r="A90" t="str">
            <v>trjb33mt</v>
          </cell>
          <cell r="E90" t="str">
            <v>TGC</v>
          </cell>
          <cell r="F90" t="str">
            <v>TJRB33MT-C</v>
          </cell>
          <cell r="M90" t="str">
            <v>日本</v>
          </cell>
          <cell r="O90" t="str">
            <v>請按此處</v>
          </cell>
          <cell r="P90">
            <v>54</v>
          </cell>
          <cell r="Q90">
            <v>2.1259842519685042</v>
          </cell>
          <cell r="R90">
            <v>66</v>
          </cell>
          <cell r="S90">
            <v>2.598425196850394</v>
          </cell>
          <cell r="T90">
            <v>119</v>
          </cell>
          <cell r="U90">
            <v>4.6850393700787407</v>
          </cell>
          <cell r="V90">
            <v>852</v>
          </cell>
          <cell r="W90">
            <v>33.543307086614178</v>
          </cell>
          <cell r="X90">
            <v>438</v>
          </cell>
          <cell r="Y90">
            <v>17.244094488188978</v>
          </cell>
          <cell r="AA90">
            <v>0</v>
          </cell>
          <cell r="AC90" t="str">
            <v>815 x 405 (32.1" x 15.9")</v>
          </cell>
          <cell r="AD90">
            <v>3</v>
          </cell>
          <cell r="AE90" t="str">
            <v>左</v>
          </cell>
          <cell r="AF90" t="str">
            <v>中</v>
          </cell>
          <cell r="AG90" t="str">
            <v>右</v>
          </cell>
          <cell r="AJ90">
            <v>20.88</v>
          </cell>
          <cell r="AK90">
            <v>10.8</v>
          </cell>
          <cell r="AL90">
            <v>20.88</v>
          </cell>
          <cell r="AM90">
            <v>0</v>
          </cell>
          <cell r="AN90">
            <v>0</v>
          </cell>
          <cell r="AO90">
            <v>0</v>
          </cell>
          <cell r="AP90">
            <v>0</v>
          </cell>
          <cell r="AQ90">
            <v>0</v>
          </cell>
          <cell r="AR90">
            <v>0</v>
          </cell>
          <cell r="AS90">
            <v>0</v>
          </cell>
          <cell r="AT90">
            <v>5.8</v>
          </cell>
          <cell r="AU90">
            <v>3</v>
          </cell>
          <cell r="AV90">
            <v>5.8</v>
          </cell>
          <cell r="BD90">
            <v>19812.553191439998</v>
          </cell>
          <cell r="BE90">
            <v>10247.872340400001</v>
          </cell>
          <cell r="BF90">
            <v>19812.553191439998</v>
          </cell>
          <cell r="BG90">
            <v>0</v>
          </cell>
          <cell r="BH90">
            <v>0</v>
          </cell>
          <cell r="BI90">
            <v>0</v>
          </cell>
          <cell r="BJ90">
            <v>0</v>
          </cell>
          <cell r="BK90">
            <v>0</v>
          </cell>
          <cell r="BL90">
            <v>0</v>
          </cell>
          <cell r="BM90">
            <v>0</v>
          </cell>
          <cell r="BN90">
            <v>5.4496799999999999</v>
          </cell>
          <cell r="BO90">
            <v>2.8188000000000004</v>
          </cell>
          <cell r="BP90">
            <v>5.4496799999999999</v>
          </cell>
          <cell r="BQ90">
            <v>0</v>
          </cell>
          <cell r="BR90">
            <v>0</v>
          </cell>
          <cell r="BS90">
            <v>0</v>
          </cell>
          <cell r="BT90">
            <v>0</v>
          </cell>
          <cell r="BU90">
            <v>0</v>
          </cell>
          <cell r="BV90">
            <v>0</v>
          </cell>
          <cell r="BW90">
            <v>0</v>
          </cell>
          <cell r="BX90" t="str">
            <v>可以</v>
          </cell>
          <cell r="BY90" t="str">
            <v>不可以</v>
          </cell>
          <cell r="BZ90" t="str">
            <v>可以</v>
          </cell>
          <cell r="CD90" t="str">
            <v>不適用</v>
          </cell>
          <cell r="CE90" t="str">
            <v>兩枚D型1.5V</v>
          </cell>
          <cell r="CF90" t="str">
            <v>爐底中央</v>
          </cell>
          <cell r="CG90" t="str">
            <v>黑色陶瓷玻璃配黑色鋁合金框架
黑色陶瓷玻璃配銀色鋁合金框架</v>
          </cell>
          <cell r="CH90" t="str">
            <v>旋鈕式</v>
          </cell>
          <cell r="CI90" t="str">
            <v>旋鈕式</v>
          </cell>
          <cell r="CJ90" t="str">
            <v>雙環 x 2</v>
          </cell>
          <cell r="CK90" t="str">
            <v>單環</v>
          </cell>
          <cell r="CL90" t="str">
            <v>不適用</v>
          </cell>
          <cell r="CM90" t="str">
            <v>不適用</v>
          </cell>
          <cell r="CN90" t="str">
            <v>不適用</v>
          </cell>
          <cell r="CO90" t="str">
            <v>不適用</v>
          </cell>
          <cell r="CP90" t="str">
            <v>不適用</v>
          </cell>
          <cell r="CQ90" t="str">
            <v>不適用</v>
          </cell>
          <cell r="CR90" t="str">
            <v>圓形五邊承托架</v>
          </cell>
          <cell r="CS90" t="str">
            <v>請按此處</v>
          </cell>
          <cell r="CT90" t="str">
            <v>不適用</v>
          </cell>
          <cell r="CU90" t="str">
            <v>不適用</v>
          </cell>
          <cell r="CV90">
            <v>20</v>
          </cell>
          <cell r="CW90">
            <v>44</v>
          </cell>
        </row>
        <row r="91">
          <cell r="A91" t="str">
            <v>trjb72nt</v>
          </cell>
          <cell r="E91" t="str">
            <v>TGC</v>
          </cell>
          <cell r="F91" t="str">
            <v>TRJB72NT-C</v>
          </cell>
          <cell r="M91" t="str">
            <v>日本</v>
          </cell>
          <cell r="O91" t="str">
            <v>請按此處</v>
          </cell>
          <cell r="P91">
            <v>59</v>
          </cell>
          <cell r="Q91">
            <v>2.3228346456692917</v>
          </cell>
          <cell r="R91">
            <v>71</v>
          </cell>
          <cell r="S91">
            <v>2.7952755905511815</v>
          </cell>
          <cell r="T91">
            <v>96</v>
          </cell>
          <cell r="U91">
            <v>3.7795275590551185</v>
          </cell>
          <cell r="V91">
            <v>737</v>
          </cell>
          <cell r="W91">
            <v>29.015748031496063</v>
          </cell>
          <cell r="X91">
            <v>438</v>
          </cell>
          <cell r="Y91">
            <v>17.244094488188978</v>
          </cell>
          <cell r="AA91">
            <v>0</v>
          </cell>
          <cell r="AC91" t="str">
            <v>703 x 403 (27.7" x 15.9")</v>
          </cell>
          <cell r="AD91">
            <v>2</v>
          </cell>
          <cell r="AE91" t="str">
            <v>左</v>
          </cell>
          <cell r="AF91" t="str">
            <v>右</v>
          </cell>
          <cell r="AJ91">
            <v>15.264000000000001</v>
          </cell>
          <cell r="AK91">
            <v>15.264000000000001</v>
          </cell>
          <cell r="AL91">
            <v>0</v>
          </cell>
          <cell r="AM91">
            <v>0</v>
          </cell>
          <cell r="AN91">
            <v>0</v>
          </cell>
          <cell r="AO91">
            <v>0</v>
          </cell>
          <cell r="AP91">
            <v>0</v>
          </cell>
          <cell r="AQ91">
            <v>0</v>
          </cell>
          <cell r="AR91">
            <v>0</v>
          </cell>
          <cell r="AS91">
            <v>0</v>
          </cell>
          <cell r="AT91">
            <v>4.24</v>
          </cell>
          <cell r="AU91">
            <v>4.24</v>
          </cell>
          <cell r="BD91">
            <v>14483.659574432</v>
          </cell>
          <cell r="BE91">
            <v>14483.659574432</v>
          </cell>
          <cell r="BF91">
            <v>0</v>
          </cell>
          <cell r="BG91">
            <v>0</v>
          </cell>
          <cell r="BH91">
            <v>0</v>
          </cell>
          <cell r="BI91">
            <v>0</v>
          </cell>
          <cell r="BJ91">
            <v>0</v>
          </cell>
          <cell r="BK91">
            <v>0</v>
          </cell>
          <cell r="BL91">
            <v>0</v>
          </cell>
          <cell r="BM91">
            <v>0</v>
          </cell>
          <cell r="BN91">
            <v>3.9839040000000003</v>
          </cell>
          <cell r="BO91">
            <v>3.9839040000000003</v>
          </cell>
          <cell r="BP91">
            <v>0</v>
          </cell>
          <cell r="BQ91">
            <v>0</v>
          </cell>
          <cell r="BR91">
            <v>0</v>
          </cell>
          <cell r="BS91">
            <v>0</v>
          </cell>
          <cell r="BT91">
            <v>0</v>
          </cell>
          <cell r="BU91">
            <v>0</v>
          </cell>
          <cell r="BV91">
            <v>0</v>
          </cell>
          <cell r="BW91">
            <v>0</v>
          </cell>
          <cell r="BX91" t="str">
            <v>不可以</v>
          </cell>
          <cell r="BY91" t="str">
            <v>不可以</v>
          </cell>
          <cell r="CD91" t="str">
            <v>不適用</v>
          </cell>
          <cell r="CE91" t="str">
            <v>兩枚D型1.5V</v>
          </cell>
          <cell r="CF91" t="str">
            <v>爐底中前方</v>
          </cell>
          <cell r="CG91" t="str">
            <v>黑色陶瓷玻璃 + 黑色鋁合金框架
黑色陶瓷玻璃 + 銀色鋁合金框架</v>
          </cell>
          <cell r="CH91" t="str">
            <v>旋鈕式</v>
          </cell>
          <cell r="CI91" t="str">
            <v>旋鈕式</v>
          </cell>
          <cell r="CJ91" t="str">
            <v>內炎爐頭</v>
          </cell>
          <cell r="CK91" t="str">
            <v>不適用</v>
          </cell>
          <cell r="CL91" t="str">
            <v>不適用</v>
          </cell>
          <cell r="CM91" t="str">
            <v>不適用</v>
          </cell>
          <cell r="CN91" t="str">
            <v>不適用</v>
          </cell>
          <cell r="CO91" t="str">
            <v>不適用</v>
          </cell>
          <cell r="CP91" t="str">
            <v>不適用</v>
          </cell>
          <cell r="CQ91" t="str">
            <v>不適用</v>
          </cell>
          <cell r="CR91" t="str">
            <v>圓形五邊承托架</v>
          </cell>
          <cell r="CS91" t="str">
            <v>請按此處</v>
          </cell>
          <cell r="CT91" t="str">
            <v>不適用</v>
          </cell>
          <cell r="CU91" t="str">
            <v>不適用</v>
          </cell>
          <cell r="CV91">
            <v>12</v>
          </cell>
          <cell r="CW91">
            <v>26.400000000000002</v>
          </cell>
        </row>
        <row r="92">
          <cell r="A92" t="str">
            <v>mwzb621</v>
          </cell>
          <cell r="B92" t="str">
            <v>停售</v>
          </cell>
          <cell r="E92" t="str">
            <v>Meo</v>
          </cell>
          <cell r="F92" t="str">
            <v>MWZB621-GB</v>
          </cell>
          <cell r="K92" t="str">
            <v>2010年10月29日</v>
          </cell>
          <cell r="L92" t="str">
            <v xml:space="preserve"> </v>
          </cell>
          <cell r="M92" t="str">
            <v>中國</v>
          </cell>
          <cell r="N92" t="str">
            <v>已停售</v>
          </cell>
          <cell r="O92" t="str">
            <v>請按此處</v>
          </cell>
          <cell r="P92">
            <v>55</v>
          </cell>
          <cell r="Q92">
            <v>2.1653543307086616</v>
          </cell>
          <cell r="R92">
            <v>63</v>
          </cell>
          <cell r="S92">
            <v>2.4803149606299213</v>
          </cell>
          <cell r="T92">
            <v>101</v>
          </cell>
          <cell r="U92">
            <v>3.9763779527559056</v>
          </cell>
          <cell r="V92">
            <v>750</v>
          </cell>
          <cell r="W92">
            <v>29.527559055118111</v>
          </cell>
          <cell r="X92">
            <v>450</v>
          </cell>
          <cell r="Y92">
            <v>17.716535433070867</v>
          </cell>
          <cell r="AA92">
            <v>0</v>
          </cell>
          <cell r="AC92" t="str">
            <v>670 x 350 (26.4" x 13.8")</v>
          </cell>
          <cell r="AD92">
            <v>2</v>
          </cell>
          <cell r="AE92" t="str">
            <v>左</v>
          </cell>
          <cell r="AF92" t="str">
            <v>右</v>
          </cell>
          <cell r="AJ92">
            <v>17.28</v>
          </cell>
          <cell r="AK92">
            <v>17.28</v>
          </cell>
          <cell r="AL92">
            <v>0</v>
          </cell>
          <cell r="AM92">
            <v>0</v>
          </cell>
          <cell r="AN92">
            <v>0</v>
          </cell>
          <cell r="AO92">
            <v>2.8800000000000003</v>
          </cell>
          <cell r="AP92">
            <v>2.8800000000000003</v>
          </cell>
          <cell r="AQ92">
            <v>0</v>
          </cell>
          <cell r="AR92">
            <v>0</v>
          </cell>
          <cell r="AS92">
            <v>0</v>
          </cell>
          <cell r="AT92">
            <v>4.8</v>
          </cell>
          <cell r="AU92">
            <v>4.8</v>
          </cell>
          <cell r="AY92">
            <v>0.8</v>
          </cell>
          <cell r="AZ92">
            <v>0.8</v>
          </cell>
          <cell r="BD92">
            <v>16396.595744639999</v>
          </cell>
          <cell r="BE92">
            <v>16396.595744639999</v>
          </cell>
          <cell r="BF92">
            <v>0</v>
          </cell>
          <cell r="BG92">
            <v>0</v>
          </cell>
          <cell r="BH92">
            <v>0</v>
          </cell>
          <cell r="BI92">
            <v>2732.7659574400004</v>
          </cell>
          <cell r="BJ92">
            <v>2732.7659574400004</v>
          </cell>
          <cell r="BK92">
            <v>0</v>
          </cell>
          <cell r="BL92">
            <v>0</v>
          </cell>
          <cell r="BM92">
            <v>0</v>
          </cell>
          <cell r="BN92">
            <v>4.5100800000000003</v>
          </cell>
          <cell r="BO92">
            <v>4.5100800000000003</v>
          </cell>
          <cell r="BP92">
            <v>0</v>
          </cell>
          <cell r="BQ92">
            <v>0</v>
          </cell>
          <cell r="BR92">
            <v>0</v>
          </cell>
          <cell r="BS92">
            <v>0.75168000000000013</v>
          </cell>
          <cell r="BT92">
            <v>0.75168000000000013</v>
          </cell>
          <cell r="BU92">
            <v>0</v>
          </cell>
          <cell r="BV92">
            <v>0</v>
          </cell>
          <cell r="BW92">
            <v>0</v>
          </cell>
          <cell r="BX92" t="str">
            <v>可以</v>
          </cell>
          <cell r="BY92" t="str">
            <v>可以</v>
          </cell>
          <cell r="CC92" t="str">
            <v>(1) 金色銅合金爐頭配合銀色鍍鉻爐頭座，美觀耐用，槽式爐頭噴孔，方便清潔。
(2) 爐具備有膠腳及橫向式燃氣接口，適合座枱式安裝。</v>
          </cell>
          <cell r="CD92" t="str">
            <v>不適用</v>
          </cell>
          <cell r="CE92" t="str">
            <v>一枚D型1.5V</v>
          </cell>
          <cell r="CF92" t="str">
            <v>爐底左前方</v>
          </cell>
          <cell r="CG92" t="str">
            <v>強化玻璃</v>
          </cell>
          <cell r="CH92" t="str">
            <v>旋鈕式</v>
          </cell>
          <cell r="CI92" t="str">
            <v>旋鈕式</v>
          </cell>
          <cell r="CJ92" t="str">
            <v>雙環 x 2</v>
          </cell>
          <cell r="CK92" t="str">
            <v>不適用</v>
          </cell>
          <cell r="CL92" t="str">
            <v>不適用</v>
          </cell>
          <cell r="CM92" t="str">
            <v>不適用</v>
          </cell>
          <cell r="CN92" t="str">
            <v>不適用</v>
          </cell>
          <cell r="CO92" t="str">
            <v>不適用</v>
          </cell>
          <cell r="CP92" t="str">
            <v>不適用</v>
          </cell>
          <cell r="CQ92" t="str">
            <v>不適用</v>
          </cell>
          <cell r="CR92" t="str">
            <v>圓形五邊承托架</v>
          </cell>
          <cell r="CS92" t="str">
            <v>請按此處</v>
          </cell>
          <cell r="CT92" t="str">
            <v>請按此處</v>
          </cell>
          <cell r="CU92" t="str">
            <v>請按此處</v>
          </cell>
          <cell r="CW92">
            <v>0</v>
          </cell>
          <cell r="CX92"/>
          <cell r="DF92"/>
        </row>
        <row r="93">
          <cell r="A93" t="str">
            <v>rb2gb_colour</v>
          </cell>
          <cell r="B93" t="str">
            <v>現售</v>
          </cell>
          <cell r="E93" t="str">
            <v>TGC</v>
          </cell>
          <cell r="F93" t="str">
            <v>RB2GB - 電池打火</v>
          </cell>
          <cell r="G93" t="str">
            <v>RB2GB - 電池打火</v>
          </cell>
          <cell r="K93" t="str">
            <v>2010年3月22日(綠) / 12月6日(紅/黃)</v>
          </cell>
          <cell r="M93" t="str">
            <v>台灣</v>
          </cell>
          <cell r="N93">
            <v>3980</v>
          </cell>
          <cell r="O93" t="str">
            <v>請按此處</v>
          </cell>
          <cell r="P93">
            <v>55</v>
          </cell>
          <cell r="Q93">
            <v>2.1653543307086616</v>
          </cell>
          <cell r="R93">
            <v>63</v>
          </cell>
          <cell r="S93">
            <v>2.4803149606299213</v>
          </cell>
          <cell r="U93">
            <v>0</v>
          </cell>
          <cell r="V93">
            <v>750</v>
          </cell>
          <cell r="W93">
            <v>29.527559055118111</v>
          </cell>
          <cell r="X93">
            <v>450</v>
          </cell>
          <cell r="Y93">
            <v>17.716535433070867</v>
          </cell>
          <cell r="Z93">
            <v>400</v>
          </cell>
          <cell r="AA93">
            <v>15.748031496062993</v>
          </cell>
          <cell r="AC93" t="str">
            <v>670 x 350 (26.4" x 13.8")</v>
          </cell>
          <cell r="AD93">
            <v>2</v>
          </cell>
          <cell r="AE93" t="str">
            <v>左</v>
          </cell>
          <cell r="AF93" t="str">
            <v>右</v>
          </cell>
          <cell r="AJ93">
            <v>17.28</v>
          </cell>
          <cell r="AK93">
            <v>17.28</v>
          </cell>
          <cell r="AL93">
            <v>0</v>
          </cell>
          <cell r="AM93">
            <v>0</v>
          </cell>
          <cell r="AN93">
            <v>0</v>
          </cell>
          <cell r="AO93">
            <v>3.24</v>
          </cell>
          <cell r="AP93">
            <v>3.24</v>
          </cell>
          <cell r="AQ93">
            <v>0</v>
          </cell>
          <cell r="AR93">
            <v>0</v>
          </cell>
          <cell r="AS93">
            <v>0</v>
          </cell>
          <cell r="AT93">
            <v>4.8</v>
          </cell>
          <cell r="AU93">
            <v>4.8</v>
          </cell>
          <cell r="AY93">
            <v>0.9</v>
          </cell>
          <cell r="AZ93">
            <v>0.9</v>
          </cell>
          <cell r="BD93">
            <v>16396.595744639999</v>
          </cell>
          <cell r="BE93">
            <v>16396.595744639999</v>
          </cell>
          <cell r="BF93">
            <v>0</v>
          </cell>
          <cell r="BG93">
            <v>0</v>
          </cell>
          <cell r="BH93">
            <v>0</v>
          </cell>
          <cell r="BI93">
            <v>3074.3617021200002</v>
          </cell>
          <cell r="BJ93">
            <v>3074.3617021200002</v>
          </cell>
          <cell r="BK93">
            <v>0</v>
          </cell>
          <cell r="BL93">
            <v>0</v>
          </cell>
          <cell r="BM93">
            <v>0</v>
          </cell>
          <cell r="BN93">
            <v>4.5100800000000003</v>
          </cell>
          <cell r="BO93">
            <v>4.5100800000000003</v>
          </cell>
          <cell r="BP93">
            <v>0</v>
          </cell>
          <cell r="BQ93">
            <v>0</v>
          </cell>
          <cell r="BR93">
            <v>0</v>
          </cell>
          <cell r="BS93">
            <v>0.84564000000000006</v>
          </cell>
          <cell r="BT93">
            <v>0.84564000000000006</v>
          </cell>
          <cell r="BU93">
            <v>0</v>
          </cell>
          <cell r="BV93">
            <v>0</v>
          </cell>
          <cell r="BW93">
            <v>0</v>
          </cell>
          <cell r="BX93" t="str">
            <v>不可以</v>
          </cell>
          <cell r="BY93" t="str">
            <v>不可以</v>
          </cell>
          <cell r="CC93" t="str">
            <v>(1) 金色爐頭。
(2) 玻璃製造商：肖特 Schott。
(3) 玻璃厚度 8 毫米。</v>
          </cell>
          <cell r="CD93" t="str">
            <v>不適用</v>
          </cell>
          <cell r="CE93" t="str">
            <v>一枚D型1.5V</v>
          </cell>
          <cell r="CF93" t="str">
            <v>爐底中央近右邊</v>
          </cell>
          <cell r="CG93" t="str">
            <v>綠色強化玻璃
紅色強化玻璃
黃色強化玻璃</v>
          </cell>
          <cell r="CH93" t="str">
            <v>旋鈕式</v>
          </cell>
          <cell r="CI93" t="str">
            <v>旋鈕式</v>
          </cell>
          <cell r="CJ93" t="str">
            <v>雙環 x 2</v>
          </cell>
          <cell r="CK93" t="str">
            <v>不適用</v>
          </cell>
          <cell r="CL93" t="str">
            <v>不適用</v>
          </cell>
          <cell r="CM93" t="str">
            <v>不適用</v>
          </cell>
          <cell r="CN93" t="str">
            <v>不適用</v>
          </cell>
          <cell r="CO93" t="str">
            <v>不適用</v>
          </cell>
          <cell r="CP93" t="str">
            <v>不適用</v>
          </cell>
          <cell r="CQ93" t="str">
            <v>不適用</v>
          </cell>
          <cell r="CR93" t="str">
            <v>圓形五邊承托架</v>
          </cell>
          <cell r="CS93" t="str">
            <v>請按此處</v>
          </cell>
          <cell r="CT93" t="str">
            <v>請按此處</v>
          </cell>
          <cell r="CV93">
            <v>17</v>
          </cell>
          <cell r="CW93">
            <v>37.400000000000006</v>
          </cell>
          <cell r="CX93" t="str">
            <v>金色爐頭</v>
          </cell>
          <cell r="DF93" t="str">
            <v>貨源正常</v>
          </cell>
        </row>
        <row r="94">
          <cell r="A94" t="str">
            <v>trjb33ntc</v>
          </cell>
          <cell r="B94" t="str">
            <v>停售</v>
          </cell>
          <cell r="E94" t="str">
            <v>TGC</v>
          </cell>
          <cell r="F94" t="str">
            <v>TRJB33NT-C (時間功能內炎火)</v>
          </cell>
          <cell r="H94" t="str">
            <v>TRJB33NT-C (時間功能內炎火)</v>
          </cell>
          <cell r="I94" t="str">
            <v>說明書</v>
          </cell>
          <cell r="K94" t="str">
            <v>2010年12月6日</v>
          </cell>
          <cell r="L94" t="str">
            <v>2016年10月6日</v>
          </cell>
          <cell r="M94" t="str">
            <v>日本</v>
          </cell>
          <cell r="N94" t="str">
            <v>已停售</v>
          </cell>
          <cell r="O94" t="str">
            <v>請按此處</v>
          </cell>
          <cell r="P94">
            <v>59</v>
          </cell>
          <cell r="Q94">
            <v>2.3228346456692917</v>
          </cell>
          <cell r="R94">
            <v>71</v>
          </cell>
          <cell r="S94">
            <v>2.7952755905511815</v>
          </cell>
          <cell r="U94">
            <v>0</v>
          </cell>
          <cell r="V94">
            <v>852</v>
          </cell>
          <cell r="W94">
            <v>33.543307086614178</v>
          </cell>
          <cell r="X94">
            <v>438</v>
          </cell>
          <cell r="Y94">
            <v>17.244094488188978</v>
          </cell>
          <cell r="Z94">
            <v>571.5</v>
          </cell>
          <cell r="AA94">
            <v>22.5</v>
          </cell>
          <cell r="AC94" t="str">
            <v>815 x 405 (32.1" x 15.9")</v>
          </cell>
          <cell r="AD94">
            <v>3</v>
          </cell>
          <cell r="AE94" t="str">
            <v>左 (炒鑊)</v>
          </cell>
          <cell r="AF94" t="str">
            <v>中 (細爐)</v>
          </cell>
          <cell r="AG94" t="str">
            <v>右 (炒鑊)</v>
          </cell>
          <cell r="AJ94">
            <v>15.120000000000001</v>
          </cell>
          <cell r="AK94">
            <v>4.6800000000000006</v>
          </cell>
          <cell r="AL94">
            <v>15.120000000000001</v>
          </cell>
          <cell r="AM94">
            <v>0</v>
          </cell>
          <cell r="AN94">
            <v>0</v>
          </cell>
          <cell r="AO94">
            <v>1.8</v>
          </cell>
          <cell r="AP94">
            <v>1.08</v>
          </cell>
          <cell r="AQ94">
            <v>1.8</v>
          </cell>
          <cell r="AR94">
            <v>0</v>
          </cell>
          <cell r="AS94">
            <v>0</v>
          </cell>
          <cell r="AT94">
            <v>4.2</v>
          </cell>
          <cell r="AU94">
            <v>1.3</v>
          </cell>
          <cell r="AV94">
            <v>4.2</v>
          </cell>
          <cell r="AY94">
            <v>0.5</v>
          </cell>
          <cell r="AZ94">
            <v>0.3</v>
          </cell>
          <cell r="BA94">
            <v>0.5</v>
          </cell>
          <cell r="BD94">
            <v>14347.021276560001</v>
          </cell>
          <cell r="BE94">
            <v>4440.74468084</v>
          </cell>
          <cell r="BF94">
            <v>14347.021276560001</v>
          </cell>
          <cell r="BG94">
            <v>0</v>
          </cell>
          <cell r="BH94">
            <v>0</v>
          </cell>
          <cell r="BI94">
            <v>1707.9787234</v>
          </cell>
          <cell r="BJ94">
            <v>1024.7872340399999</v>
          </cell>
          <cell r="BK94">
            <v>1707.9787234</v>
          </cell>
          <cell r="BL94">
            <v>0</v>
          </cell>
          <cell r="BM94">
            <v>0</v>
          </cell>
          <cell r="BN94">
            <v>3.9463200000000005</v>
          </cell>
          <cell r="BO94">
            <v>1.2214800000000001</v>
          </cell>
          <cell r="BP94">
            <v>3.9463200000000005</v>
          </cell>
          <cell r="BQ94">
            <v>0</v>
          </cell>
          <cell r="BR94">
            <v>0</v>
          </cell>
          <cell r="BS94">
            <v>0.46980000000000005</v>
          </cell>
          <cell r="BT94">
            <v>0.28188000000000002</v>
          </cell>
          <cell r="BU94">
            <v>0.46980000000000005</v>
          </cell>
          <cell r="BV94">
            <v>0</v>
          </cell>
          <cell r="BW94">
            <v>0</v>
          </cell>
          <cell r="BX94" t="str">
            <v>不可以</v>
          </cell>
          <cell r="BY94" t="str">
            <v>不可以</v>
          </cell>
          <cell r="BZ94" t="str">
            <v>不可以</v>
          </cell>
          <cell r="CC94" t="str">
            <v>(1) 左邊爐頭配備時間掣熄火功能。
(2) 爐面板採用德國製造的 Schott﹝肖特﹞玻璃。 
(3) 『內炎』爐頭內藏於爐面下，並在燃時產生錐形火燄，熱效率比一般爐頭高20%。
(4) 爐架用鑄鐵物料。
(5) 銀色火力控制旋鈕。</v>
          </cell>
          <cell r="CD94" t="str">
            <v>不適用</v>
          </cell>
          <cell r="CE94" t="str">
            <v>兩枚D型1.5V</v>
          </cell>
          <cell r="CF94" t="str">
            <v>爐底中前方</v>
          </cell>
          <cell r="CG94" t="str">
            <v>黑色陶瓷玻璃 + 黑色鋁合金框架 (已停售，於2016年1月28日)
黑色陶瓷玻璃 + 銀色鋁合金框架</v>
          </cell>
          <cell r="CH94" t="str">
            <v>旋鈕式</v>
          </cell>
          <cell r="CI94" t="str">
            <v>旋鈕式</v>
          </cell>
          <cell r="CJ94" t="str">
            <v>單環 x 2</v>
          </cell>
          <cell r="CK94" t="str">
            <v>不適用</v>
          </cell>
          <cell r="CL94" t="str">
            <v>不適用</v>
          </cell>
          <cell r="CM94" t="str">
            <v>單環</v>
          </cell>
          <cell r="CN94" t="str">
            <v>不適用</v>
          </cell>
          <cell r="CO94" t="str">
            <v>不適用</v>
          </cell>
          <cell r="CP94" t="str">
            <v>不適用</v>
          </cell>
          <cell r="CQ94" t="str">
            <v>不適用</v>
          </cell>
          <cell r="CR94" t="str">
            <v>圓形五邊承托架</v>
          </cell>
          <cell r="CS94" t="str">
            <v>請按此處</v>
          </cell>
          <cell r="CT94" t="str">
            <v>請按此處</v>
          </cell>
          <cell r="CU94" t="str">
            <v>請按此處</v>
          </cell>
          <cell r="CV94">
            <v>13</v>
          </cell>
          <cell r="CW94">
            <v>28.6</v>
          </cell>
        </row>
        <row r="95">
          <cell r="A95" t="str">
            <v>TRJB72NTC</v>
          </cell>
          <cell r="B95" t="str">
            <v>現售</v>
          </cell>
          <cell r="D95" t="str">
            <v>Standard Drawing: WDE keyword: TRJB72NT</v>
          </cell>
          <cell r="E95" t="str">
            <v>TGC</v>
          </cell>
          <cell r="F95" t="str">
            <v>TRJB72NT-C (時間功能內炎火)</v>
          </cell>
          <cell r="H95" t="str">
            <v>TRJB72NT-C (時間功能內炎火)</v>
          </cell>
          <cell r="I95" t="str">
            <v>說明書</v>
          </cell>
          <cell r="K95" t="str">
            <v>2010年12月6日</v>
          </cell>
          <cell r="L95" t="str">
            <v>2026年1月5日</v>
          </cell>
          <cell r="M95" t="str">
            <v>日本</v>
          </cell>
          <cell r="N95" t="str">
            <v>已停售</v>
          </cell>
          <cell r="O95" t="str">
            <v>請按此處</v>
          </cell>
          <cell r="P95">
            <v>59</v>
          </cell>
          <cell r="Q95">
            <v>2.3228346456692917</v>
          </cell>
          <cell r="R95">
            <v>71</v>
          </cell>
          <cell r="S95">
            <v>2.7952755905511815</v>
          </cell>
          <cell r="T95">
            <v>96</v>
          </cell>
          <cell r="U95">
            <v>3.7795275590551185</v>
          </cell>
          <cell r="V95">
            <v>737</v>
          </cell>
          <cell r="W95">
            <v>29.015748031496063</v>
          </cell>
          <cell r="X95">
            <v>438</v>
          </cell>
          <cell r="Y95">
            <v>17.244094488188978</v>
          </cell>
          <cell r="Z95">
            <v>470</v>
          </cell>
          <cell r="AA95">
            <v>18.503937007874018</v>
          </cell>
          <cell r="AC95" t="str">
            <v>703 x 403 (27.7" x 15.9")</v>
          </cell>
          <cell r="AD95">
            <v>2</v>
          </cell>
          <cell r="AE95" t="str">
            <v>左</v>
          </cell>
          <cell r="AF95" t="str">
            <v>右</v>
          </cell>
          <cell r="AJ95">
            <v>15.120000000000001</v>
          </cell>
          <cell r="AK95">
            <v>15.120000000000001</v>
          </cell>
          <cell r="AL95">
            <v>0</v>
          </cell>
          <cell r="AM95">
            <v>0</v>
          </cell>
          <cell r="AN95">
            <v>0</v>
          </cell>
          <cell r="AO95">
            <v>1.8</v>
          </cell>
          <cell r="AP95">
            <v>1.8</v>
          </cell>
          <cell r="AQ95">
            <v>0</v>
          </cell>
          <cell r="AR95">
            <v>0</v>
          </cell>
          <cell r="AS95">
            <v>0</v>
          </cell>
          <cell r="AT95">
            <v>4.2</v>
          </cell>
          <cell r="AU95">
            <v>4.2</v>
          </cell>
          <cell r="AY95">
            <v>0.5</v>
          </cell>
          <cell r="AZ95">
            <v>0.5</v>
          </cell>
          <cell r="BD95">
            <v>14347.021276560001</v>
          </cell>
          <cell r="BE95">
            <v>14347.021276560001</v>
          </cell>
          <cell r="BF95">
            <v>0</v>
          </cell>
          <cell r="BG95">
            <v>0</v>
          </cell>
          <cell r="BH95">
            <v>0</v>
          </cell>
          <cell r="BI95">
            <v>1707.9787234</v>
          </cell>
          <cell r="BJ95">
            <v>1707.9787234</v>
          </cell>
          <cell r="BK95">
            <v>0</v>
          </cell>
          <cell r="BL95">
            <v>0</v>
          </cell>
          <cell r="BM95">
            <v>0</v>
          </cell>
          <cell r="BN95">
            <v>3.9463200000000005</v>
          </cell>
          <cell r="BO95">
            <v>3.9463200000000005</v>
          </cell>
          <cell r="BP95">
            <v>0</v>
          </cell>
          <cell r="BQ95">
            <v>0</v>
          </cell>
          <cell r="BR95">
            <v>0</v>
          </cell>
          <cell r="BS95">
            <v>0.46980000000000005</v>
          </cell>
          <cell r="BT95">
            <v>0.46980000000000005</v>
          </cell>
          <cell r="BU95">
            <v>0</v>
          </cell>
          <cell r="BV95">
            <v>0</v>
          </cell>
          <cell r="BW95">
            <v>0</v>
          </cell>
          <cell r="BX95" t="str">
            <v>不可以</v>
          </cell>
          <cell r="BY95" t="str">
            <v>不可以</v>
          </cell>
          <cell r="CC95" t="str">
            <v>(1) 左邊爐頭配備時間掣熄火功能。
(2) 爐面板採用德國製造的 Schott﹝肖特﹞玻璃。 
(3) 『內炎』爐頭內藏於爐面下，並在燃時產生錐形火燄，熱效率比一般爐頭高20%。
(4) 爐架用鑄鐵物料。
(5) 銀色火力控制旋鈕。</v>
          </cell>
          <cell r="CD95" t="str">
            <v>不適用</v>
          </cell>
          <cell r="CE95" t="str">
            <v>兩枚D型1.5V</v>
          </cell>
          <cell r="CF95" t="str">
            <v>爐底中前方</v>
          </cell>
          <cell r="CG95" t="str">
            <v>黑色陶瓷玻璃 + 黑色鋁合金框架 
黑色陶瓷玻璃 + 銀色鋁合金框架 (已停售，於2019年7月22日)</v>
          </cell>
          <cell r="CH95" t="str">
            <v>旋鈕式</v>
          </cell>
          <cell r="CI95" t="str">
            <v>旋鈕式</v>
          </cell>
          <cell r="CJ95" t="str">
            <v>內炎爐頭</v>
          </cell>
          <cell r="CK95" t="str">
            <v>不適用</v>
          </cell>
          <cell r="CL95" t="str">
            <v>不適用</v>
          </cell>
          <cell r="CM95" t="str">
            <v>不適用</v>
          </cell>
          <cell r="CN95" t="str">
            <v>不適用</v>
          </cell>
          <cell r="CO95" t="str">
            <v>不適用</v>
          </cell>
          <cell r="CP95" t="str">
            <v>不適用</v>
          </cell>
          <cell r="CQ95" t="str">
            <v>不適用</v>
          </cell>
          <cell r="CR95" t="str">
            <v>圓形五邊承托架</v>
          </cell>
          <cell r="CS95" t="str">
            <v>請按此處</v>
          </cell>
          <cell r="CT95" t="str">
            <v>請按此處</v>
          </cell>
          <cell r="CU95" t="str">
            <v>請按此處</v>
          </cell>
          <cell r="CV95">
            <v>11</v>
          </cell>
          <cell r="CW95">
            <v>24.200000000000003</v>
          </cell>
          <cell r="CX95"/>
          <cell r="DF95"/>
          <cell r="DG95"/>
        </row>
        <row r="96">
          <cell r="A96" t="str">
            <v>trjb72mtc</v>
          </cell>
          <cell r="B96" t="str">
            <v>停售</v>
          </cell>
          <cell r="E96" t="str">
            <v>TGC</v>
          </cell>
          <cell r="F96" t="str">
            <v>TRJB72MT-C (時間功能極炎火)</v>
          </cell>
          <cell r="H96" t="str">
            <v>TRJB72MT-C (時間功能極炎火)</v>
          </cell>
          <cell r="I96" t="str">
            <v>說明書</v>
          </cell>
          <cell r="K96" t="str">
            <v>2010年12月6日</v>
          </cell>
          <cell r="L96" t="str">
            <v>2016年3月1日</v>
          </cell>
          <cell r="M96" t="str">
            <v>日本</v>
          </cell>
          <cell r="N96" t="str">
            <v>已停售</v>
          </cell>
          <cell r="O96" t="str">
            <v>請按此處</v>
          </cell>
          <cell r="P96">
            <v>54</v>
          </cell>
          <cell r="Q96">
            <v>2.1259842519685042</v>
          </cell>
          <cell r="R96">
            <v>66</v>
          </cell>
          <cell r="S96">
            <v>2.598425196850394</v>
          </cell>
          <cell r="U96">
            <v>0</v>
          </cell>
          <cell r="V96">
            <v>737</v>
          </cell>
          <cell r="W96">
            <v>29.015748031496063</v>
          </cell>
          <cell r="X96">
            <v>438</v>
          </cell>
          <cell r="Y96">
            <v>17.244094488188978</v>
          </cell>
          <cell r="Z96">
            <v>472</v>
          </cell>
          <cell r="AA96">
            <v>18.582677165354333</v>
          </cell>
          <cell r="AC96" t="str">
            <v>703 x 403 (27.7" x 15.9")</v>
          </cell>
          <cell r="AD96">
            <v>2</v>
          </cell>
          <cell r="AE96" t="str">
            <v>左</v>
          </cell>
          <cell r="AF96" t="str">
            <v>右</v>
          </cell>
          <cell r="AJ96">
            <v>20.88</v>
          </cell>
          <cell r="AK96">
            <v>20.88</v>
          </cell>
          <cell r="AL96">
            <v>0</v>
          </cell>
          <cell r="AM96">
            <v>0</v>
          </cell>
          <cell r="AN96">
            <v>0</v>
          </cell>
          <cell r="AO96">
            <v>1.08</v>
          </cell>
          <cell r="AP96">
            <v>1.08</v>
          </cell>
          <cell r="AQ96">
            <v>0</v>
          </cell>
          <cell r="AR96">
            <v>0</v>
          </cell>
          <cell r="AS96">
            <v>0</v>
          </cell>
          <cell r="AT96">
            <v>5.8</v>
          </cell>
          <cell r="AU96">
            <v>5.8</v>
          </cell>
          <cell r="AY96">
            <v>0.3</v>
          </cell>
          <cell r="AZ96">
            <v>0.3</v>
          </cell>
          <cell r="BD96">
            <v>19812.553191439998</v>
          </cell>
          <cell r="BE96">
            <v>19812.553191439998</v>
          </cell>
          <cell r="BF96">
            <v>0</v>
          </cell>
          <cell r="BG96">
            <v>0</v>
          </cell>
          <cell r="BH96">
            <v>0</v>
          </cell>
          <cell r="BI96">
            <v>1024.7872340399999</v>
          </cell>
          <cell r="BJ96">
            <v>1024.7872340399999</v>
          </cell>
          <cell r="BK96">
            <v>0</v>
          </cell>
          <cell r="BL96">
            <v>0</v>
          </cell>
          <cell r="BM96">
            <v>0</v>
          </cell>
          <cell r="BN96">
            <v>5.4496799999999999</v>
          </cell>
          <cell r="BO96">
            <v>5.4496799999999999</v>
          </cell>
          <cell r="BP96">
            <v>0</v>
          </cell>
          <cell r="BQ96">
            <v>0</v>
          </cell>
          <cell r="BR96">
            <v>0</v>
          </cell>
          <cell r="BS96">
            <v>0.28188000000000002</v>
          </cell>
          <cell r="BT96">
            <v>0.28188000000000002</v>
          </cell>
          <cell r="BU96">
            <v>0</v>
          </cell>
          <cell r="BV96">
            <v>0</v>
          </cell>
          <cell r="BW96">
            <v>0</v>
          </cell>
          <cell r="BX96" t="str">
            <v>可以</v>
          </cell>
          <cell r="BY96" t="str">
            <v>可以</v>
          </cell>
          <cell r="CC96" t="str">
            <v>(1) 左邊爐頭時間掣熄火功能。
(2) 德國名牌Schott優質陶瓷玻璃；傳熱度特低；易清潔。
(3) 密封式爐頭設計。</v>
          </cell>
          <cell r="CD96" t="str">
            <v>不適用</v>
          </cell>
          <cell r="CE96" t="str">
            <v>兩枚D型1.5V</v>
          </cell>
          <cell r="CF96" t="str">
            <v>爐底中央</v>
          </cell>
          <cell r="CG96" t="str">
            <v>黑色陶瓷玻璃配黑色鋁合金框架 
黑色陶瓷玻璃配銀色鋁合金框架</v>
          </cell>
          <cell r="CH96" t="str">
            <v>旋鈕式</v>
          </cell>
          <cell r="CI96" t="str">
            <v>旋鈕式</v>
          </cell>
          <cell r="CJ96" t="str">
            <v>雙環 x 2</v>
          </cell>
          <cell r="CK96" t="str">
            <v>不適用</v>
          </cell>
          <cell r="CL96" t="str">
            <v>不適用</v>
          </cell>
          <cell r="CM96" t="str">
            <v>不適用</v>
          </cell>
          <cell r="CN96" t="str">
            <v>不適用</v>
          </cell>
          <cell r="CO96" t="str">
            <v>不適用</v>
          </cell>
          <cell r="CP96" t="str">
            <v>不適用</v>
          </cell>
          <cell r="CQ96" t="str">
            <v>不適用</v>
          </cell>
          <cell r="CR96" t="str">
            <v>圓形五邊承托架</v>
          </cell>
          <cell r="CS96" t="str">
            <v>請按此處</v>
          </cell>
          <cell r="CT96" t="str">
            <v>請按此處</v>
          </cell>
          <cell r="CU96" t="str">
            <v>請按此處</v>
          </cell>
          <cell r="CV96">
            <v>17.5</v>
          </cell>
          <cell r="CW96">
            <v>38.5</v>
          </cell>
          <cell r="CX96"/>
        </row>
        <row r="97">
          <cell r="A97" t="str">
            <v>trjb33mtc</v>
          </cell>
          <cell r="B97" t="str">
            <v>停售</v>
          </cell>
          <cell r="E97" t="str">
            <v>TGC</v>
          </cell>
          <cell r="F97" t="str">
            <v>TRJB33MT-C (時間功能極炎火)</v>
          </cell>
          <cell r="H97" t="str">
            <v>TRJB33MT-C (時間功能極炎火)</v>
          </cell>
          <cell r="I97" t="str">
            <v>說明書</v>
          </cell>
          <cell r="K97" t="str">
            <v>2010年12月6日</v>
          </cell>
          <cell r="L97" t="str">
            <v>2016年4月6日</v>
          </cell>
          <cell r="M97" t="str">
            <v>日本</v>
          </cell>
          <cell r="N97" t="str">
            <v>已停售</v>
          </cell>
          <cell r="O97" t="str">
            <v>請按此處</v>
          </cell>
          <cell r="P97">
            <v>54</v>
          </cell>
          <cell r="Q97">
            <v>2.1259842519685042</v>
          </cell>
          <cell r="R97">
            <v>66</v>
          </cell>
          <cell r="S97">
            <v>2.598425196850394</v>
          </cell>
          <cell r="U97">
            <v>0</v>
          </cell>
          <cell r="V97">
            <v>852</v>
          </cell>
          <cell r="W97">
            <v>33.543307086614178</v>
          </cell>
          <cell r="X97">
            <v>438</v>
          </cell>
          <cell r="Y97">
            <v>17.244094488188978</v>
          </cell>
          <cell r="Z97">
            <v>560</v>
          </cell>
          <cell r="AA97">
            <v>22.047244094488189</v>
          </cell>
          <cell r="AC97" t="str">
            <v>815 x 405 (32.1" x 15.9")</v>
          </cell>
          <cell r="AD97">
            <v>3</v>
          </cell>
          <cell r="AE97" t="str">
            <v>左 (炒鑊)</v>
          </cell>
          <cell r="AF97" t="str">
            <v>中 (中爐)</v>
          </cell>
          <cell r="AG97" t="str">
            <v>右 (炒鑊)</v>
          </cell>
          <cell r="AJ97">
            <v>20.88</v>
          </cell>
          <cell r="AK97">
            <v>10.8</v>
          </cell>
          <cell r="AL97">
            <v>20.88</v>
          </cell>
          <cell r="AM97">
            <v>0</v>
          </cell>
          <cell r="AN97">
            <v>0</v>
          </cell>
          <cell r="AO97">
            <v>1.08</v>
          </cell>
          <cell r="AP97">
            <v>2.16</v>
          </cell>
          <cell r="AQ97">
            <v>1.08</v>
          </cell>
          <cell r="AR97">
            <v>0</v>
          </cell>
          <cell r="AS97">
            <v>0</v>
          </cell>
          <cell r="AT97">
            <v>5.8</v>
          </cell>
          <cell r="AU97">
            <v>3</v>
          </cell>
          <cell r="AV97">
            <v>5.8</v>
          </cell>
          <cell r="AY97">
            <v>0.3</v>
          </cell>
          <cell r="AZ97">
            <v>0.6</v>
          </cell>
          <cell r="BA97">
            <v>0.3</v>
          </cell>
          <cell r="BD97">
            <v>19812.553191439998</v>
          </cell>
          <cell r="BE97">
            <v>10247.872340400001</v>
          </cell>
          <cell r="BF97">
            <v>19812.553191439998</v>
          </cell>
          <cell r="BG97">
            <v>0</v>
          </cell>
          <cell r="BH97">
            <v>0</v>
          </cell>
          <cell r="BI97">
            <v>1024.7872340399999</v>
          </cell>
          <cell r="BJ97">
            <v>2049.5744680799999</v>
          </cell>
          <cell r="BK97">
            <v>1024.7872340399999</v>
          </cell>
          <cell r="BL97">
            <v>0</v>
          </cell>
          <cell r="BM97">
            <v>0</v>
          </cell>
          <cell r="BN97">
            <v>5.4496799999999999</v>
          </cell>
          <cell r="BO97">
            <v>2.8188000000000004</v>
          </cell>
          <cell r="BP97">
            <v>5.4496799999999999</v>
          </cell>
          <cell r="BQ97">
            <v>0</v>
          </cell>
          <cell r="BR97">
            <v>0</v>
          </cell>
          <cell r="BS97">
            <v>0.28188000000000002</v>
          </cell>
          <cell r="BT97">
            <v>0.56376000000000004</v>
          </cell>
          <cell r="BU97">
            <v>0.28188000000000002</v>
          </cell>
          <cell r="BV97">
            <v>0</v>
          </cell>
          <cell r="BW97">
            <v>0</v>
          </cell>
          <cell r="BX97" t="str">
            <v>可以</v>
          </cell>
          <cell r="BY97" t="str">
            <v>不可以</v>
          </cell>
          <cell r="BZ97" t="str">
            <v>可以</v>
          </cell>
          <cell r="CC97" t="str">
            <v>(1) 左邊爐頭時間掣熄火功能。
(2) 德國名牌Schott優質陶瓷玻璃；傳熱度特低；易清潔。</v>
          </cell>
          <cell r="CD97" t="str">
            <v>不適用</v>
          </cell>
          <cell r="CE97" t="str">
            <v>兩枚D型1.5V</v>
          </cell>
          <cell r="CF97" t="str">
            <v>爐底中央</v>
          </cell>
          <cell r="CG97" t="str">
            <v>黑色陶瓷玻璃配黑色鋁合金框架 
黑色陶瓷玻璃配銀色鋁合金框架</v>
          </cell>
          <cell r="CH97" t="str">
            <v>旋鈕式</v>
          </cell>
          <cell r="CI97" t="str">
            <v>旋鈕式</v>
          </cell>
          <cell r="CJ97" t="str">
            <v>雙環 x 2</v>
          </cell>
          <cell r="CK97" t="str">
            <v>單環</v>
          </cell>
          <cell r="CL97" t="str">
            <v>不適用</v>
          </cell>
          <cell r="CM97" t="str">
            <v>不適用</v>
          </cell>
          <cell r="CN97" t="str">
            <v>不適用</v>
          </cell>
          <cell r="CO97" t="str">
            <v>不適用</v>
          </cell>
          <cell r="CP97" t="str">
            <v>不適用</v>
          </cell>
          <cell r="CQ97" t="str">
            <v>不適用</v>
          </cell>
          <cell r="CR97" t="str">
            <v>圓形五邊承托架</v>
          </cell>
          <cell r="CS97" t="str">
            <v>請按此處</v>
          </cell>
          <cell r="CT97" t="str">
            <v>請按此處</v>
          </cell>
          <cell r="CU97" t="str">
            <v>請按此處</v>
          </cell>
          <cell r="CV97">
            <v>20</v>
          </cell>
          <cell r="CW97">
            <v>44</v>
          </cell>
          <cell r="CX97" t="str">
            <v>(1) 爐芯距離資料：由左爐爐芯至中間爐頭爐芯為 280mm (約11吋)，由右邊爐芯至中間爐頭爐芯為 280mm (約11吋)。
(2) 紙盒尺寸：
長：96厘米
闊：54.5厘米
高：29厘米</v>
          </cell>
        </row>
        <row r="98">
          <cell r="A98" t="str">
            <v>trtb62st</v>
          </cell>
          <cell r="B98" t="str">
            <v>停售</v>
          </cell>
          <cell r="E98" t="str">
            <v xml:space="preserve">TGC </v>
          </cell>
          <cell r="F98" t="str">
            <v>TRTB62ST-G</v>
          </cell>
          <cell r="H98" t="str">
            <v>TRTB62ST-G</v>
          </cell>
          <cell r="I98" t="str">
            <v>說明書</v>
          </cell>
          <cell r="K98" t="str">
            <v>2011年5月4日</v>
          </cell>
          <cell r="L98" t="str">
            <v>2017年6月2日</v>
          </cell>
          <cell r="M98" t="str">
            <v>台灣</v>
          </cell>
          <cell r="N98" t="str">
            <v>已停售</v>
          </cell>
          <cell r="O98" t="str">
            <v>請按此處</v>
          </cell>
          <cell r="P98">
            <v>56</v>
          </cell>
          <cell r="Q98">
            <v>2.204724409448819</v>
          </cell>
          <cell r="R98">
            <v>67</v>
          </cell>
          <cell r="S98">
            <v>2.6377952755905514</v>
          </cell>
          <cell r="T98">
            <v>128</v>
          </cell>
          <cell r="U98">
            <v>5.0393700787401574</v>
          </cell>
          <cell r="V98">
            <v>720</v>
          </cell>
          <cell r="W98">
            <v>28.346456692913389</v>
          </cell>
          <cell r="X98">
            <v>420</v>
          </cell>
          <cell r="Y98">
            <v>16.535433070866144</v>
          </cell>
          <cell r="Z98">
            <v>406</v>
          </cell>
          <cell r="AA98">
            <v>15.984251968503937</v>
          </cell>
          <cell r="AC98" t="str">
            <v>670 x 350 (26.4" x 13.8")</v>
          </cell>
          <cell r="AD98">
            <v>2</v>
          </cell>
          <cell r="AE98" t="str">
            <v>左</v>
          </cell>
          <cell r="AF98" t="str">
            <v>右</v>
          </cell>
          <cell r="AJ98">
            <v>18</v>
          </cell>
          <cell r="AK98">
            <v>18</v>
          </cell>
          <cell r="AL98">
            <v>0</v>
          </cell>
          <cell r="AM98">
            <v>0</v>
          </cell>
          <cell r="AN98">
            <v>0</v>
          </cell>
          <cell r="AO98">
            <v>1.08</v>
          </cell>
          <cell r="AP98">
            <v>1.08</v>
          </cell>
          <cell r="AQ98">
            <v>0</v>
          </cell>
          <cell r="AR98">
            <v>0</v>
          </cell>
          <cell r="AS98">
            <v>0</v>
          </cell>
          <cell r="AT98">
            <v>5</v>
          </cell>
          <cell r="AU98">
            <v>5</v>
          </cell>
          <cell r="AY98">
            <v>0.3</v>
          </cell>
          <cell r="AZ98">
            <v>0.3</v>
          </cell>
          <cell r="BD98">
            <v>17079.787233999999</v>
          </cell>
          <cell r="BE98">
            <v>17079.787233999999</v>
          </cell>
          <cell r="BF98">
            <v>0</v>
          </cell>
          <cell r="BG98">
            <v>0</v>
          </cell>
          <cell r="BH98">
            <v>0</v>
          </cell>
          <cell r="BI98">
            <v>1024.7872340399999</v>
          </cell>
          <cell r="BJ98">
            <v>1024.7872340399999</v>
          </cell>
          <cell r="BK98">
            <v>0</v>
          </cell>
          <cell r="BL98">
            <v>0</v>
          </cell>
          <cell r="BM98">
            <v>0</v>
          </cell>
          <cell r="BN98">
            <v>4.6980000000000004</v>
          </cell>
          <cell r="BO98">
            <v>4.6980000000000004</v>
          </cell>
          <cell r="BP98">
            <v>0</v>
          </cell>
          <cell r="BQ98">
            <v>0</v>
          </cell>
          <cell r="BR98">
            <v>0</v>
          </cell>
          <cell r="BS98">
            <v>0.28188000000000002</v>
          </cell>
          <cell r="BT98">
            <v>0.28188000000000002</v>
          </cell>
          <cell r="BU98">
            <v>0</v>
          </cell>
          <cell r="BV98">
            <v>0</v>
          </cell>
          <cell r="BW98">
            <v>0</v>
          </cell>
          <cell r="BX98" t="str">
            <v>可以</v>
          </cell>
          <cell r="BY98" t="str">
            <v>可以</v>
          </cell>
          <cell r="CC98" t="str">
            <v>(1) 左邊爐頭預校熄火時間控制功能。
(2) 密封式爐頭設計，溢瀉物不易流入爐內，清潔容易。
(3) 爐頭蓋均為槽式火孔設計，不易堵塞，方便清潔。
(4) 玻璃底部加上保護膜，令致玻璃在意外破裂時，不會濺開。</v>
          </cell>
          <cell r="CD98" t="str">
            <v>不適用</v>
          </cell>
          <cell r="CE98" t="str">
            <v>兩枚D型1.5V</v>
          </cell>
          <cell r="CF98" t="str">
            <v>爐底中央近左前方</v>
          </cell>
          <cell r="CG98" t="str">
            <v xml:space="preserve">黑色強化玻璃 / 白色強化玻璃
粉紅色強化玻璃 / 綠色強化玻璃
藍色強化玻璃    </v>
          </cell>
          <cell r="CH98" t="str">
            <v>旋鈕式</v>
          </cell>
          <cell r="CI98" t="str">
            <v>旋鈕式</v>
          </cell>
          <cell r="CJ98" t="str">
            <v>雙環 x 2</v>
          </cell>
          <cell r="CK98" t="str">
            <v>不適用</v>
          </cell>
          <cell r="CL98" t="str">
            <v>不適用</v>
          </cell>
          <cell r="CM98" t="str">
            <v>不適用</v>
          </cell>
          <cell r="CN98" t="str">
            <v>不適用</v>
          </cell>
          <cell r="CO98" t="str">
            <v>不適用</v>
          </cell>
          <cell r="CP98" t="str">
            <v>不適用</v>
          </cell>
          <cell r="CQ98" t="str">
            <v>不適用</v>
          </cell>
          <cell r="CR98" t="str">
            <v>圓形五邊承托架</v>
          </cell>
          <cell r="CS98" t="str">
            <v>請按此處</v>
          </cell>
          <cell r="CT98" t="str">
            <v>請按此處</v>
          </cell>
          <cell r="CU98" t="str">
            <v>請按此處</v>
          </cell>
          <cell r="CV98">
            <v>17</v>
          </cell>
          <cell r="CW98">
            <v>37.400000000000006</v>
          </cell>
          <cell r="CY98" t="str">
            <v>氣喉接駁位置：爐底後方右角</v>
          </cell>
          <cell r="CZ98" t="str">
            <v>速遞：面板固定改善，請按此處</v>
          </cell>
          <cell r="DA98" t="str">
            <v>速遞 -綠色、藍色、粉紅色玻璃</v>
          </cell>
          <cell r="DB98" t="str">
            <v>速遞 - 密封式爐頭平面爐系列的注意事項</v>
          </cell>
          <cell r="DC98" t="str">
            <v>速遞 - 水晶白玻璃</v>
          </cell>
          <cell r="DD98" t="str">
            <v>速遞 - 密封式爐頭平面爐的面板固定改善措施</v>
          </cell>
          <cell r="DE98" t="str">
            <v>速遞 - 四腳爐架適配器</v>
          </cell>
        </row>
        <row r="99">
          <cell r="A99" t="str">
            <v>trtb72st</v>
          </cell>
          <cell r="B99" t="str">
            <v>停售</v>
          </cell>
          <cell r="E99" t="str">
            <v>TGC</v>
          </cell>
          <cell r="F99" t="str">
            <v>TRTB72ST-G</v>
          </cell>
          <cell r="H99" t="str">
            <v>TRTB72ST-G</v>
          </cell>
          <cell r="I99" t="str">
            <v>說明書</v>
          </cell>
          <cell r="K99" t="str">
            <v>2011年5月4日</v>
          </cell>
          <cell r="L99" t="str">
            <v>2017年6月5日</v>
          </cell>
          <cell r="M99" t="str">
            <v>台灣</v>
          </cell>
          <cell r="N99" t="str">
            <v>已停售</v>
          </cell>
          <cell r="O99" t="str">
            <v>請按此處</v>
          </cell>
          <cell r="P99">
            <v>56</v>
          </cell>
          <cell r="Q99">
            <v>2.204724409448819</v>
          </cell>
          <cell r="R99">
            <v>67</v>
          </cell>
          <cell r="S99">
            <v>2.6377952755905514</v>
          </cell>
          <cell r="T99">
            <v>128</v>
          </cell>
          <cell r="U99">
            <v>5.0393700787401574</v>
          </cell>
          <cell r="V99">
            <v>760</v>
          </cell>
          <cell r="W99">
            <v>29.921259842519685</v>
          </cell>
          <cell r="X99">
            <v>450</v>
          </cell>
          <cell r="Y99">
            <v>17.716535433070867</v>
          </cell>
          <cell r="Z99">
            <v>470</v>
          </cell>
          <cell r="AA99">
            <v>18.503937007874018</v>
          </cell>
          <cell r="AC99" t="str">
            <v>703 x 403 (27.7" x 15.9")</v>
          </cell>
          <cell r="AD99">
            <v>2</v>
          </cell>
          <cell r="AE99" t="str">
            <v>左</v>
          </cell>
          <cell r="AF99" t="str">
            <v>右</v>
          </cell>
          <cell r="AJ99">
            <v>18</v>
          </cell>
          <cell r="AK99">
            <v>18</v>
          </cell>
          <cell r="AL99">
            <v>0</v>
          </cell>
          <cell r="AM99">
            <v>0</v>
          </cell>
          <cell r="AN99">
            <v>0</v>
          </cell>
          <cell r="AO99">
            <v>1.08</v>
          </cell>
          <cell r="AP99">
            <v>1.08</v>
          </cell>
          <cell r="AQ99">
            <v>0</v>
          </cell>
          <cell r="AR99">
            <v>0</v>
          </cell>
          <cell r="AS99">
            <v>0</v>
          </cell>
          <cell r="AT99">
            <v>5</v>
          </cell>
          <cell r="AU99">
            <v>5</v>
          </cell>
          <cell r="AY99">
            <v>0.3</v>
          </cell>
          <cell r="AZ99">
            <v>0.3</v>
          </cell>
          <cell r="BD99">
            <v>17079.787233999999</v>
          </cell>
          <cell r="BE99">
            <v>17079.787233999999</v>
          </cell>
          <cell r="BF99">
            <v>0</v>
          </cell>
          <cell r="BG99">
            <v>0</v>
          </cell>
          <cell r="BH99">
            <v>0</v>
          </cell>
          <cell r="BI99">
            <v>1024.7872340399999</v>
          </cell>
          <cell r="BJ99">
            <v>1024.7872340399999</v>
          </cell>
          <cell r="BK99">
            <v>0</v>
          </cell>
          <cell r="BL99">
            <v>0</v>
          </cell>
          <cell r="BM99">
            <v>0</v>
          </cell>
          <cell r="BN99">
            <v>4.6980000000000004</v>
          </cell>
          <cell r="BO99">
            <v>4.6980000000000004</v>
          </cell>
          <cell r="BP99">
            <v>0</v>
          </cell>
          <cell r="BQ99">
            <v>0</v>
          </cell>
          <cell r="BR99">
            <v>0</v>
          </cell>
          <cell r="BS99">
            <v>0.28188000000000002</v>
          </cell>
          <cell r="BT99">
            <v>0.28188000000000002</v>
          </cell>
          <cell r="BU99">
            <v>0</v>
          </cell>
          <cell r="BV99">
            <v>0</v>
          </cell>
          <cell r="BW99">
            <v>0</v>
          </cell>
          <cell r="BX99" t="str">
            <v>可以</v>
          </cell>
          <cell r="BY99" t="str">
            <v>可以</v>
          </cell>
          <cell r="CC99" t="str">
            <v>(1) 左邊爐頭預校熄火時間控制功能。
(2) 密封式爐頭設計，溢瀉物不易流入爐內，清潔容易。
(3) 爐頭蓋均為槽式火孔設計，不易堵塞，方便清潔。
(4) 玻璃底部加上保護膜，令致玻璃在意外破裂時，不會濺開。</v>
          </cell>
          <cell r="CD99" t="str">
            <v>不適用</v>
          </cell>
          <cell r="CE99" t="str">
            <v>兩枚D型1.5V</v>
          </cell>
          <cell r="CF99" t="str">
            <v>爐底中央近左前方</v>
          </cell>
          <cell r="CG99" t="str">
            <v>黑色強化玻璃
白色強化玻璃</v>
          </cell>
          <cell r="CH99" t="str">
            <v>旋鈕式</v>
          </cell>
          <cell r="CI99" t="str">
            <v>旋鈕式</v>
          </cell>
          <cell r="CJ99" t="str">
            <v>雙環 x 2</v>
          </cell>
          <cell r="CK99" t="str">
            <v>不適用</v>
          </cell>
          <cell r="CL99" t="str">
            <v>不適用</v>
          </cell>
          <cell r="CM99" t="str">
            <v>不適用</v>
          </cell>
          <cell r="CN99" t="str">
            <v>不適用</v>
          </cell>
          <cell r="CO99" t="str">
            <v>不適用</v>
          </cell>
          <cell r="CP99" t="str">
            <v>不適用</v>
          </cell>
          <cell r="CQ99" t="str">
            <v>不適用</v>
          </cell>
          <cell r="CR99" t="str">
            <v>圓形五邊承托架</v>
          </cell>
          <cell r="CS99" t="str">
            <v>請按此處</v>
          </cell>
          <cell r="CT99" t="str">
            <v>請按此處</v>
          </cell>
          <cell r="CU99" t="str">
            <v>請按此處</v>
          </cell>
          <cell r="CV99">
            <v>17</v>
          </cell>
          <cell r="CW99">
            <v>37.400000000000006</v>
          </cell>
          <cell r="CX99"/>
          <cell r="CY99" t="str">
            <v>氣喉接駁位置：爐底後方右角</v>
          </cell>
          <cell r="CZ99" t="str">
            <v>速遞：面板固定改善</v>
          </cell>
          <cell r="DA99" t="str">
            <v>速遞 - 密封式爐頭平面爐系列的注意事項</v>
          </cell>
          <cell r="DB99" t="str">
            <v>速遞 - 密封式爐頭平面爐的面板固定改善措施</v>
          </cell>
          <cell r="DC99" t="str">
            <v>速遞 - 四腳爐架適配器</v>
          </cell>
        </row>
        <row r="100">
          <cell r="A100" t="str">
            <v>trtb83st</v>
          </cell>
          <cell r="B100" t="str">
            <v>停售</v>
          </cell>
          <cell r="E100" t="str">
            <v>TGC</v>
          </cell>
          <cell r="F100" t="str">
            <v>TRTB83ST-G</v>
          </cell>
          <cell r="H100" t="str">
            <v>TRTB83ST-G</v>
          </cell>
          <cell r="I100" t="str">
            <v>說明書</v>
          </cell>
          <cell r="K100" t="str">
            <v>2011年5月4日</v>
          </cell>
          <cell r="L100" t="str">
            <v>2017年6月30日</v>
          </cell>
          <cell r="M100" t="str">
            <v>台灣</v>
          </cell>
          <cell r="N100" t="str">
            <v>已停售</v>
          </cell>
          <cell r="O100" t="str">
            <v>請按此處</v>
          </cell>
          <cell r="P100">
            <v>56</v>
          </cell>
          <cell r="Q100">
            <v>2.204724409448819</v>
          </cell>
          <cell r="R100">
            <v>67</v>
          </cell>
          <cell r="S100">
            <v>2.6377952755905514</v>
          </cell>
          <cell r="T100">
            <v>128</v>
          </cell>
          <cell r="U100">
            <v>5.0393700787401574</v>
          </cell>
          <cell r="V100">
            <v>860</v>
          </cell>
          <cell r="W100">
            <v>33.858267716535437</v>
          </cell>
          <cell r="X100">
            <v>450</v>
          </cell>
          <cell r="Y100">
            <v>17.716535433070867</v>
          </cell>
          <cell r="Z100">
            <v>550</v>
          </cell>
          <cell r="AA100">
            <v>21.653543307086615</v>
          </cell>
          <cell r="AC100" t="str">
            <v>815 x 405 (32.1" x 15.9")</v>
          </cell>
          <cell r="AD100">
            <v>3</v>
          </cell>
          <cell r="AE100" t="str">
            <v>左</v>
          </cell>
          <cell r="AF100" t="str">
            <v>中</v>
          </cell>
          <cell r="AG100" t="str">
            <v>右</v>
          </cell>
          <cell r="AJ100">
            <v>18</v>
          </cell>
          <cell r="AK100">
            <v>10.08</v>
          </cell>
          <cell r="AL100">
            <v>18</v>
          </cell>
          <cell r="AM100">
            <v>0</v>
          </cell>
          <cell r="AN100">
            <v>0</v>
          </cell>
          <cell r="AO100">
            <v>1.08</v>
          </cell>
          <cell r="AP100">
            <v>2.16</v>
          </cell>
          <cell r="AQ100">
            <v>1.08</v>
          </cell>
          <cell r="AR100">
            <v>0</v>
          </cell>
          <cell r="AS100">
            <v>0</v>
          </cell>
          <cell r="AT100">
            <v>5</v>
          </cell>
          <cell r="AU100">
            <v>2.8</v>
          </cell>
          <cell r="AV100">
            <v>5</v>
          </cell>
          <cell r="AY100">
            <v>0.3</v>
          </cell>
          <cell r="AZ100">
            <v>0.6</v>
          </cell>
          <cell r="BA100">
            <v>0.3</v>
          </cell>
          <cell r="BD100">
            <v>17079.787233999999</v>
          </cell>
          <cell r="BE100">
            <v>9564.6808510399987</v>
          </cell>
          <cell r="BF100">
            <v>17079.787233999999</v>
          </cell>
          <cell r="BG100">
            <v>0</v>
          </cell>
          <cell r="BH100">
            <v>0</v>
          </cell>
          <cell r="BI100">
            <v>1024.7872340399999</v>
          </cell>
          <cell r="BJ100">
            <v>2049.5744680799999</v>
          </cell>
          <cell r="BK100">
            <v>1024.7872340399999</v>
          </cell>
          <cell r="BL100">
            <v>0</v>
          </cell>
          <cell r="BM100">
            <v>0</v>
          </cell>
          <cell r="BN100">
            <v>4.6980000000000004</v>
          </cell>
          <cell r="BO100">
            <v>2.6308800000000003</v>
          </cell>
          <cell r="BP100">
            <v>4.6980000000000004</v>
          </cell>
          <cell r="BQ100">
            <v>0</v>
          </cell>
          <cell r="BR100">
            <v>0</v>
          </cell>
          <cell r="BS100">
            <v>0.28188000000000002</v>
          </cell>
          <cell r="BT100">
            <v>0.56376000000000004</v>
          </cell>
          <cell r="BU100">
            <v>0.28188000000000002</v>
          </cell>
          <cell r="BV100">
            <v>0</v>
          </cell>
          <cell r="BW100">
            <v>0</v>
          </cell>
          <cell r="BX100" t="str">
            <v>可以</v>
          </cell>
          <cell r="BY100" t="str">
            <v>不可以</v>
          </cell>
          <cell r="BZ100" t="str">
            <v>可以</v>
          </cell>
          <cell r="CC100" t="str">
            <v>(1) 左邊爐頭預校熄火時間控制功能。
(2) 密封式爐頭設計，溢瀉物不易流入爐內，清潔容易。
(3) 爐頭蓋均為槽式火孔設計，不易堵塞，方便清潔。
(4) 玻璃底部加上保護膜，令致玻璃在意外破裂時，不會濺開。</v>
          </cell>
          <cell r="CD100" t="str">
            <v>不適用</v>
          </cell>
          <cell r="CE100" t="str">
            <v>兩枚D型1.5V</v>
          </cell>
          <cell r="CF100" t="str">
            <v>爐底中央近左前方</v>
          </cell>
          <cell r="CG100" t="str">
            <v>黑色強化玻璃
白色強化玻璃</v>
          </cell>
          <cell r="CH100" t="str">
            <v>旋鈕式</v>
          </cell>
          <cell r="CI100" t="str">
            <v>旋鈕式</v>
          </cell>
          <cell r="CJ100" t="str">
            <v>雙環 x 2</v>
          </cell>
          <cell r="CK100" t="str">
            <v>單環</v>
          </cell>
          <cell r="CL100" t="str">
            <v>不適用</v>
          </cell>
          <cell r="CM100" t="str">
            <v>不適用</v>
          </cell>
          <cell r="CN100" t="str">
            <v>不適用</v>
          </cell>
          <cell r="CO100" t="str">
            <v>不適用</v>
          </cell>
          <cell r="CP100" t="str">
            <v>不適用</v>
          </cell>
          <cell r="CQ100" t="str">
            <v>不適用</v>
          </cell>
          <cell r="CR100" t="str">
            <v>圓形五邊承托架</v>
          </cell>
          <cell r="CS100" t="str">
            <v>請按此處</v>
          </cell>
          <cell r="CT100" t="str">
            <v>請按此處</v>
          </cell>
          <cell r="CU100" t="str">
            <v>請按此處</v>
          </cell>
          <cell r="CV100">
            <v>20</v>
          </cell>
          <cell r="CW100">
            <v>44</v>
          </cell>
          <cell r="CX100" t="str">
            <v>爐芯距離資料：由左爐爐芯至中間爐頭爐芯為 11吋，由右邊爐芯至中間爐頭爐芯為 11吋。</v>
          </cell>
          <cell r="CY100" t="str">
            <v>氣喉接駁位置：爐底後方右角</v>
          </cell>
          <cell r="CZ100" t="str">
            <v>速遞：面板固定改善</v>
          </cell>
          <cell r="DA100" t="str">
            <v>速遞 - 密封式爐頭平面爐系列的注意事項</v>
          </cell>
          <cell r="DB100" t="str">
            <v>速遞 - 密封式爐頭平面爐的面板固定改善措施</v>
          </cell>
          <cell r="DC100" t="str">
            <v>速遞 -  四腳爐架適配器</v>
          </cell>
        </row>
        <row r="101">
          <cell r="A101" t="str">
            <v>trtb53st</v>
          </cell>
          <cell r="B101" t="str">
            <v>停售</v>
          </cell>
          <cell r="E101" t="str">
            <v>TGC</v>
          </cell>
          <cell r="F101" t="str">
            <v>TRTB53ST-G</v>
          </cell>
          <cell r="H101" t="str">
            <v>TRTB53ST-G</v>
          </cell>
          <cell r="I101" t="str">
            <v>說明書</v>
          </cell>
          <cell r="K101" t="str">
            <v>2011年5月4日</v>
          </cell>
          <cell r="L101" t="str">
            <v>2017年6月20日</v>
          </cell>
          <cell r="M101" t="str">
            <v>台灣</v>
          </cell>
          <cell r="N101" t="str">
            <v>已停售</v>
          </cell>
          <cell r="O101" t="str">
            <v>請按此處</v>
          </cell>
          <cell r="P101">
            <v>56</v>
          </cell>
          <cell r="Q101">
            <v>2.204724409448819</v>
          </cell>
          <cell r="R101">
            <v>67</v>
          </cell>
          <cell r="S101">
            <v>2.6377952755905514</v>
          </cell>
          <cell r="T101">
            <v>128</v>
          </cell>
          <cell r="U101">
            <v>5.0393700787401574</v>
          </cell>
          <cell r="V101">
            <v>640</v>
          </cell>
          <cell r="W101">
            <v>25.196850393700789</v>
          </cell>
          <cell r="X101">
            <v>500</v>
          </cell>
          <cell r="Y101">
            <v>19.685039370078741</v>
          </cell>
          <cell r="Z101">
            <v>228.5</v>
          </cell>
          <cell r="AA101">
            <v>8.9960629921259851</v>
          </cell>
          <cell r="AC101" t="str">
            <v>555 x 475 (21.9" x 18.7")</v>
          </cell>
          <cell r="AD101">
            <v>3</v>
          </cell>
          <cell r="AE101" t="str">
            <v>左上</v>
          </cell>
          <cell r="AF101" t="str">
            <v>左下</v>
          </cell>
          <cell r="AG101" t="str">
            <v>右</v>
          </cell>
          <cell r="AJ101">
            <v>10.08</v>
          </cell>
          <cell r="AK101">
            <v>10.08</v>
          </cell>
          <cell r="AL101">
            <v>18</v>
          </cell>
          <cell r="AM101">
            <v>0</v>
          </cell>
          <cell r="AN101">
            <v>0</v>
          </cell>
          <cell r="AO101">
            <v>2.16</v>
          </cell>
          <cell r="AP101">
            <v>2.16</v>
          </cell>
          <cell r="AQ101">
            <v>1.08</v>
          </cell>
          <cell r="AR101">
            <v>0</v>
          </cell>
          <cell r="AS101">
            <v>0</v>
          </cell>
          <cell r="AT101">
            <v>2.8</v>
          </cell>
          <cell r="AU101">
            <v>2.8</v>
          </cell>
          <cell r="AV101">
            <v>5</v>
          </cell>
          <cell r="AY101">
            <v>0.6</v>
          </cell>
          <cell r="AZ101">
            <v>0.6</v>
          </cell>
          <cell r="BA101">
            <v>0.3</v>
          </cell>
          <cell r="BD101">
            <v>9564.6808510399987</v>
          </cell>
          <cell r="BE101">
            <v>9564.6808510399987</v>
          </cell>
          <cell r="BF101">
            <v>17079.787233999999</v>
          </cell>
          <cell r="BG101">
            <v>0</v>
          </cell>
          <cell r="BH101">
            <v>0</v>
          </cell>
          <cell r="BI101">
            <v>2049.5744680799999</v>
          </cell>
          <cell r="BJ101">
            <v>2049.5744680799999</v>
          </cell>
          <cell r="BK101">
            <v>1024.7872340399999</v>
          </cell>
          <cell r="BL101">
            <v>0</v>
          </cell>
          <cell r="BM101">
            <v>0</v>
          </cell>
          <cell r="BN101">
            <v>2.6308800000000003</v>
          </cell>
          <cell r="BO101">
            <v>2.6308800000000003</v>
          </cell>
          <cell r="BP101">
            <v>4.6980000000000004</v>
          </cell>
          <cell r="BQ101">
            <v>0</v>
          </cell>
          <cell r="BR101">
            <v>0</v>
          </cell>
          <cell r="BS101">
            <v>0.56376000000000004</v>
          </cell>
          <cell r="BT101">
            <v>0.56376000000000004</v>
          </cell>
          <cell r="BU101">
            <v>0.28188000000000002</v>
          </cell>
          <cell r="BV101">
            <v>0</v>
          </cell>
          <cell r="BW101">
            <v>0</v>
          </cell>
          <cell r="BX101" t="str">
            <v>不可以</v>
          </cell>
          <cell r="BY101" t="str">
            <v>不可以</v>
          </cell>
          <cell r="BZ101" t="str">
            <v>可以</v>
          </cell>
          <cell r="CC101" t="str">
            <v>(1) 右邊爐頭預校熄火時間控制功能。
(2) 密封式爐頭設計，溢瀉物不易流入爐內，清潔容易。
(3) 爐頭蓋均為槽式火孔設計，不易堵塞，方便清潔。
(4) 玻璃底部加上保護膜，令致玻璃在意外破裂時，不會濺開。</v>
          </cell>
          <cell r="CD101" t="str">
            <v>不適用</v>
          </cell>
          <cell r="CE101" t="str">
            <v>兩枚D型1.5V</v>
          </cell>
          <cell r="CF101" t="str">
            <v>爐底中央近左前方</v>
          </cell>
          <cell r="CG101" t="str">
            <v>黑色強化玻璃
白色強化玻璃</v>
          </cell>
          <cell r="CH101" t="str">
            <v>旋鈕式</v>
          </cell>
          <cell r="CI101" t="str">
            <v>旋鈕式</v>
          </cell>
          <cell r="CJ101" t="str">
            <v>雙環</v>
          </cell>
          <cell r="CK101" t="str">
            <v>單環</v>
          </cell>
          <cell r="CL101" t="str">
            <v>單環</v>
          </cell>
          <cell r="CM101" t="str">
            <v>不適用</v>
          </cell>
          <cell r="CN101" t="str">
            <v>不適用</v>
          </cell>
          <cell r="CO101" t="str">
            <v>不適用</v>
          </cell>
          <cell r="CP101" t="str">
            <v>不適用</v>
          </cell>
          <cell r="CQ101" t="str">
            <v>不適用</v>
          </cell>
          <cell r="CR101" t="str">
            <v>圓形五邊承托架</v>
          </cell>
          <cell r="CS101" t="str">
            <v>請按此處</v>
          </cell>
          <cell r="CT101" t="str">
            <v>請按此處</v>
          </cell>
          <cell r="CU101" t="str">
            <v>請按此處</v>
          </cell>
          <cell r="CV101">
            <v>18</v>
          </cell>
          <cell r="CW101">
            <v>39.6</v>
          </cell>
          <cell r="CX101" t="str">
            <v xml:space="preserve">爐頭設計較為高，一般中式鑊適用，但一些較為尖底鑊，就不宜使用。 </v>
          </cell>
          <cell r="CY101" t="str">
            <v>爐頭距離尺寸。</v>
          </cell>
          <cell r="CZ101" t="str">
            <v>速遞 - 面板固定改善</v>
          </cell>
          <cell r="DA101" t="str">
            <v>速遞 - 密封式爐頭平面爐系列的注意事項</v>
          </cell>
          <cell r="DB101" t="str">
            <v>速遞 - 密封式爐頭平面爐的面板固定改善措施</v>
          </cell>
          <cell r="DC101" t="str">
            <v>速遞 - 四腳爐架適配器</v>
          </cell>
        </row>
        <row r="102">
          <cell r="A102" t="str">
            <v>trjb11mtc</v>
          </cell>
          <cell r="B102" t="str">
            <v>停售</v>
          </cell>
          <cell r="E102" t="str">
            <v xml:space="preserve">TGC </v>
          </cell>
          <cell r="F102" t="str">
            <v>TRJB11MT-C (時間功能極炎火)</v>
          </cell>
          <cell r="I102" t="str">
            <v>說明書</v>
          </cell>
          <cell r="K102" t="str">
            <v>2011年5月17日</v>
          </cell>
          <cell r="L102" t="str">
            <v>2020年3月9日</v>
          </cell>
          <cell r="M102" t="str">
            <v>日本</v>
          </cell>
          <cell r="N102" t="str">
            <v>已停售</v>
          </cell>
          <cell r="O102" t="str">
            <v>請按此處</v>
          </cell>
          <cell r="P102">
            <v>99</v>
          </cell>
          <cell r="Q102">
            <v>3.8976377952755907</v>
          </cell>
          <cell r="R102">
            <v>111</v>
          </cell>
          <cell r="S102">
            <v>4.3700787401574805</v>
          </cell>
          <cell r="T102">
            <v>164</v>
          </cell>
          <cell r="U102">
            <v>6.4566929133858268</v>
          </cell>
          <cell r="V102">
            <v>310</v>
          </cell>
          <cell r="W102">
            <v>12.20472440944882</v>
          </cell>
          <cell r="X102">
            <v>522</v>
          </cell>
          <cell r="Y102">
            <v>20.551181102362207</v>
          </cell>
          <cell r="AA102">
            <v>0</v>
          </cell>
          <cell r="AC102" t="str">
            <v>268 x 490 (10.6" x 19.3")</v>
          </cell>
          <cell r="AD102">
            <v>1</v>
          </cell>
          <cell r="AJ102">
            <v>21.6</v>
          </cell>
          <cell r="AK102">
            <v>0</v>
          </cell>
          <cell r="AL102">
            <v>0</v>
          </cell>
          <cell r="AM102">
            <v>0</v>
          </cell>
          <cell r="AN102">
            <v>0</v>
          </cell>
          <cell r="AO102">
            <v>1.08</v>
          </cell>
          <cell r="AP102">
            <v>0</v>
          </cell>
          <cell r="AQ102">
            <v>0</v>
          </cell>
          <cell r="AR102">
            <v>0</v>
          </cell>
          <cell r="AS102">
            <v>0</v>
          </cell>
          <cell r="AT102">
            <v>6</v>
          </cell>
          <cell r="AY102">
            <v>0.3</v>
          </cell>
          <cell r="BD102">
            <v>20495.744680800002</v>
          </cell>
          <cell r="BE102">
            <v>0</v>
          </cell>
          <cell r="BF102">
            <v>0</v>
          </cell>
          <cell r="BG102">
            <v>0</v>
          </cell>
          <cell r="BH102">
            <v>0</v>
          </cell>
          <cell r="BI102">
            <v>1024.7872340399999</v>
          </cell>
          <cell r="BJ102">
            <v>0</v>
          </cell>
          <cell r="BK102">
            <v>0</v>
          </cell>
          <cell r="BL102">
            <v>0</v>
          </cell>
          <cell r="BM102">
            <v>0</v>
          </cell>
          <cell r="BN102">
            <v>5.6376000000000008</v>
          </cell>
          <cell r="BO102">
            <v>0</v>
          </cell>
          <cell r="BP102">
            <v>0</v>
          </cell>
          <cell r="BQ102">
            <v>0</v>
          </cell>
          <cell r="BR102">
            <v>0</v>
          </cell>
          <cell r="BS102">
            <v>0.28188000000000002</v>
          </cell>
          <cell r="BT102">
            <v>0</v>
          </cell>
          <cell r="BU102">
            <v>0</v>
          </cell>
          <cell r="BV102">
            <v>0</v>
          </cell>
          <cell r="BW102">
            <v>0</v>
          </cell>
          <cell r="BX102" t="str">
            <v>可以</v>
          </cell>
          <cell r="CC102" t="str">
            <v>(1) 預校熄火時間控制功能。
(2) 密封式爐頭設計，溢瀉物不易流入爐內，清潔容易。
(3) 新設計不銹鋼鑄造爐架，高度比舊爐架降低 8 毫米。
(4) 採用Schott德國製造陶瓷玻璃。</v>
          </cell>
          <cell r="CD102" t="str">
            <v>不適用</v>
          </cell>
          <cell r="CE102" t="str">
            <v>兩枚D型1.5V</v>
          </cell>
          <cell r="CF102" t="str">
            <v>爐底左後方</v>
          </cell>
          <cell r="CG102" t="str">
            <v>黑色陶瓷玻璃配銀色鋁合金框架</v>
          </cell>
          <cell r="CH102" t="str">
            <v>旋鈕式</v>
          </cell>
          <cell r="CI102" t="str">
            <v>旋鈕式</v>
          </cell>
          <cell r="CJ102" t="str">
            <v>雙環</v>
          </cell>
          <cell r="CK102" t="str">
            <v>不適用</v>
          </cell>
          <cell r="CL102" t="str">
            <v>不適用</v>
          </cell>
          <cell r="CM102" t="str">
            <v>不適用</v>
          </cell>
          <cell r="CN102" t="str">
            <v>不適用</v>
          </cell>
          <cell r="CO102" t="str">
            <v>不適用</v>
          </cell>
          <cell r="CP102" t="str">
            <v>不適用</v>
          </cell>
          <cell r="CQ102" t="str">
            <v>不適用</v>
          </cell>
          <cell r="CR102" t="str">
            <v>圓形六邊承托架</v>
          </cell>
          <cell r="CS102" t="str">
            <v>請按此處</v>
          </cell>
          <cell r="CT102" t="str">
            <v>請按此處</v>
          </cell>
          <cell r="CU102" t="str">
            <v>請按此處</v>
          </cell>
          <cell r="CV102">
            <v>9.4</v>
          </cell>
          <cell r="CW102">
            <v>20.680000000000003</v>
          </cell>
          <cell r="CX102"/>
          <cell r="DF102"/>
          <cell r="DG102"/>
        </row>
        <row r="103">
          <cell r="A103" t="str">
            <v>shzb12sg</v>
          </cell>
          <cell r="B103" t="str">
            <v>停售</v>
          </cell>
          <cell r="E103" t="str">
            <v>Simpa</v>
          </cell>
          <cell r="F103" t="str">
            <v>SHZB12S-G</v>
          </cell>
          <cell r="I103" t="str">
            <v>講義</v>
          </cell>
          <cell r="J103" t="str">
            <v>說明書</v>
          </cell>
          <cell r="K103" t="str">
            <v>2012年6月1日</v>
          </cell>
          <cell r="L103" t="str">
            <v>2020年9月25日</v>
          </cell>
          <cell r="M103" t="str">
            <v>中國</v>
          </cell>
          <cell r="N103" t="str">
            <v>已停售</v>
          </cell>
          <cell r="P103">
            <v>60</v>
          </cell>
          <cell r="Q103">
            <v>2.3622047244094491</v>
          </cell>
          <cell r="R103">
            <v>69</v>
          </cell>
          <cell r="S103">
            <v>2.7165354330708662</v>
          </cell>
          <cell r="T103">
            <v>132</v>
          </cell>
          <cell r="U103">
            <v>5.1968503937007879</v>
          </cell>
          <cell r="V103">
            <v>288</v>
          </cell>
          <cell r="W103">
            <v>11.338582677165356</v>
          </cell>
          <cell r="X103">
            <v>515</v>
          </cell>
          <cell r="Y103">
            <v>20.275590551181104</v>
          </cell>
          <cell r="Z103">
            <v>203</v>
          </cell>
          <cell r="AA103">
            <v>7.9921259842519685</v>
          </cell>
          <cell r="AC103" t="str">
            <v>266 x 490 (10.5" x 19.3")</v>
          </cell>
          <cell r="AD103">
            <v>2</v>
          </cell>
          <cell r="AE103" t="str">
            <v>上 (大爐)</v>
          </cell>
          <cell r="AF103" t="str">
            <v>下 (細爐)</v>
          </cell>
          <cell r="AJ103">
            <v>9</v>
          </cell>
          <cell r="AK103">
            <v>4.6800000000000006</v>
          </cell>
          <cell r="AL103">
            <v>0</v>
          </cell>
          <cell r="AM103">
            <v>0</v>
          </cell>
          <cell r="AN103">
            <v>0</v>
          </cell>
          <cell r="AO103">
            <v>4.1399999999999997</v>
          </cell>
          <cell r="AP103">
            <v>2.0880000000000001</v>
          </cell>
          <cell r="AQ103">
            <v>0</v>
          </cell>
          <cell r="AR103">
            <v>0</v>
          </cell>
          <cell r="AS103">
            <v>0</v>
          </cell>
          <cell r="AT103">
            <v>2.5</v>
          </cell>
          <cell r="AU103">
            <v>1.3</v>
          </cell>
          <cell r="AY103">
            <v>1.1499999999999999</v>
          </cell>
          <cell r="AZ103">
            <v>0.57999999999999996</v>
          </cell>
          <cell r="BD103">
            <v>8539.8936169999997</v>
          </cell>
          <cell r="BE103">
            <v>4440.74468084</v>
          </cell>
          <cell r="BF103">
            <v>0</v>
          </cell>
          <cell r="BG103">
            <v>0</v>
          </cell>
          <cell r="BH103">
            <v>0</v>
          </cell>
          <cell r="BI103">
            <v>3928.3510638199996</v>
          </cell>
          <cell r="BJ103">
            <v>1981.2553191439999</v>
          </cell>
          <cell r="BK103">
            <v>0</v>
          </cell>
          <cell r="BL103">
            <v>0</v>
          </cell>
          <cell r="BM103">
            <v>0</v>
          </cell>
          <cell r="BN103">
            <v>2.3490000000000002</v>
          </cell>
          <cell r="BO103">
            <v>1.2214800000000001</v>
          </cell>
          <cell r="BP103">
            <v>0</v>
          </cell>
          <cell r="BQ103">
            <v>0</v>
          </cell>
          <cell r="BR103">
            <v>0</v>
          </cell>
          <cell r="BS103">
            <v>1.0805400000000001</v>
          </cell>
          <cell r="BT103">
            <v>0.54496800000000001</v>
          </cell>
          <cell r="BU103">
            <v>0</v>
          </cell>
          <cell r="BV103">
            <v>0</v>
          </cell>
          <cell r="BW103">
            <v>0</v>
          </cell>
          <cell r="BX103" t="str">
            <v>不可以</v>
          </cell>
          <cell r="BY103" t="str">
            <v>不可以</v>
          </cell>
          <cell r="CC103" t="str">
            <v>(1) 銅合金密封式爐頭。
(2) 6毫米厚的強化玻璃面。</v>
          </cell>
          <cell r="CD103" t="str">
            <v>不適用</v>
          </cell>
          <cell r="CE103" t="str">
            <v>一枚D型1.5V</v>
          </cell>
          <cell r="CF103" t="str">
            <v>左前方</v>
          </cell>
          <cell r="CG103" t="str">
            <v>黑色強化玻璃</v>
          </cell>
          <cell r="CH103" t="str">
            <v>旋鈕式</v>
          </cell>
          <cell r="CI103" t="str">
            <v>旋鈕式</v>
          </cell>
          <cell r="CJ103" t="str">
            <v>雙環</v>
          </cell>
          <cell r="CK103" t="str">
            <v>雙環</v>
          </cell>
          <cell r="CL103" t="str">
            <v>不適用</v>
          </cell>
          <cell r="CM103" t="str">
            <v>不適用</v>
          </cell>
          <cell r="CN103" t="str">
            <v>不適用</v>
          </cell>
          <cell r="CO103" t="str">
            <v>不適用</v>
          </cell>
          <cell r="CP103" t="str">
            <v>不適用</v>
          </cell>
          <cell r="CQ103" t="str">
            <v>不適用</v>
          </cell>
          <cell r="CR103" t="str">
            <v>圓形四邊承托架</v>
          </cell>
          <cell r="CS103" t="str">
            <v>請按此處</v>
          </cell>
          <cell r="CT103" t="str">
            <v>請按此處</v>
          </cell>
          <cell r="CU103" t="str">
            <v>請按此處</v>
          </cell>
          <cell r="CV103">
            <v>9.4</v>
          </cell>
          <cell r="CW103">
            <v>20.680000000000003</v>
          </cell>
          <cell r="CX103" t="str">
            <v>(1) 玻璃厚度為 6 毫米。
(2) 切勿擺放總重量超過10公斤的器具於爐架上。</v>
          </cell>
          <cell r="CY103" t="str">
            <v>氣喉接駁位置：爐底後方右角</v>
          </cell>
          <cell r="DF103"/>
          <cell r="DG103"/>
        </row>
        <row r="104">
          <cell r="A104" t="str">
            <v>shzb62sg</v>
          </cell>
          <cell r="B104" t="str">
            <v>停售</v>
          </cell>
          <cell r="E104" t="str">
            <v>Simpa</v>
          </cell>
          <cell r="F104" t="str">
            <v>SHZB62S-G</v>
          </cell>
          <cell r="I104" t="str">
            <v>講義</v>
          </cell>
          <cell r="J104" t="str">
            <v>說明書</v>
          </cell>
          <cell r="K104" t="str">
            <v>2012年3月6日</v>
          </cell>
          <cell r="L104" t="str">
            <v>2020年8月31日</v>
          </cell>
          <cell r="M104" t="str">
            <v>中國</v>
          </cell>
          <cell r="N104" t="str">
            <v>已停售</v>
          </cell>
          <cell r="O104" t="str">
            <v>請按此處</v>
          </cell>
          <cell r="P104">
            <v>62</v>
          </cell>
          <cell r="Q104">
            <v>2.4409448818897639</v>
          </cell>
          <cell r="R104">
            <v>72</v>
          </cell>
          <cell r="S104">
            <v>2.8346456692913389</v>
          </cell>
          <cell r="T104">
            <v>134</v>
          </cell>
          <cell r="U104">
            <v>5.2755905511811028</v>
          </cell>
          <cell r="V104">
            <v>750</v>
          </cell>
          <cell r="W104">
            <v>29.527559055118111</v>
          </cell>
          <cell r="X104">
            <v>450</v>
          </cell>
          <cell r="Y104">
            <v>17.716535433070867</v>
          </cell>
          <cell r="Z104">
            <v>420</v>
          </cell>
          <cell r="AA104">
            <v>16.535433070866144</v>
          </cell>
          <cell r="AC104" t="str">
            <v>670 x 350 (26.4" x 13.8")</v>
          </cell>
          <cell r="AD104">
            <v>2</v>
          </cell>
          <cell r="AE104" t="str">
            <v>左</v>
          </cell>
          <cell r="AF104" t="str">
            <v>右</v>
          </cell>
          <cell r="AJ104">
            <v>18</v>
          </cell>
          <cell r="AK104">
            <v>18</v>
          </cell>
          <cell r="AL104">
            <v>0</v>
          </cell>
          <cell r="AM104">
            <v>0</v>
          </cell>
          <cell r="AN104">
            <v>0</v>
          </cell>
          <cell r="AO104">
            <v>0</v>
          </cell>
          <cell r="AP104">
            <v>0</v>
          </cell>
          <cell r="AQ104">
            <v>0</v>
          </cell>
          <cell r="AR104">
            <v>0</v>
          </cell>
          <cell r="AS104">
            <v>0</v>
          </cell>
          <cell r="AT104">
            <v>5</v>
          </cell>
          <cell r="AU104">
            <v>5</v>
          </cell>
          <cell r="BD104">
            <v>17079.787233999999</v>
          </cell>
          <cell r="BE104">
            <v>17079.787233999999</v>
          </cell>
          <cell r="BF104">
            <v>0</v>
          </cell>
          <cell r="BG104">
            <v>0</v>
          </cell>
          <cell r="BH104">
            <v>0</v>
          </cell>
          <cell r="BI104">
            <v>0</v>
          </cell>
          <cell r="BJ104">
            <v>0</v>
          </cell>
          <cell r="BK104">
            <v>0</v>
          </cell>
          <cell r="BL104">
            <v>0</v>
          </cell>
          <cell r="BM104">
            <v>0</v>
          </cell>
          <cell r="BN104">
            <v>4.6980000000000004</v>
          </cell>
          <cell r="BO104">
            <v>4.6980000000000004</v>
          </cell>
          <cell r="BP104">
            <v>0</v>
          </cell>
          <cell r="BQ104">
            <v>0</v>
          </cell>
          <cell r="BR104">
            <v>0</v>
          </cell>
          <cell r="BS104">
            <v>0</v>
          </cell>
          <cell r="BT104">
            <v>0</v>
          </cell>
          <cell r="BU104">
            <v>0</v>
          </cell>
          <cell r="BV104">
            <v>0</v>
          </cell>
          <cell r="BW104">
            <v>0</v>
          </cell>
          <cell r="BX104" t="str">
            <v>可以</v>
          </cell>
          <cell r="BY104" t="str">
            <v>可以</v>
          </cell>
          <cell r="CC104" t="str">
            <v>(1) 銅合金密封式爐頭。
(2) 8毫米厚的強化玻璃面。</v>
          </cell>
          <cell r="CD104" t="str">
            <v>不適用</v>
          </cell>
          <cell r="CE104" t="str">
            <v>一枚D型1.5V</v>
          </cell>
          <cell r="CF104" t="str">
            <v>右前方</v>
          </cell>
          <cell r="CG104" t="str">
            <v>黑色強化玻璃</v>
          </cell>
          <cell r="CH104" t="str">
            <v>旋鈕式</v>
          </cell>
          <cell r="CI104" t="str">
            <v>旋鈕式</v>
          </cell>
          <cell r="CJ104" t="str">
            <v>雙環</v>
          </cell>
          <cell r="CK104" t="str">
            <v>雙環</v>
          </cell>
          <cell r="CL104" t="str">
            <v>不適用</v>
          </cell>
          <cell r="CM104" t="str">
            <v>不適用</v>
          </cell>
          <cell r="CN104" t="str">
            <v>不適用</v>
          </cell>
          <cell r="CO104" t="str">
            <v>不適用</v>
          </cell>
          <cell r="CP104" t="str">
            <v>不適用</v>
          </cell>
          <cell r="CQ104" t="str">
            <v>不適用</v>
          </cell>
          <cell r="CR104" t="str">
            <v>圓形四邊承托架</v>
          </cell>
          <cell r="CS104" t="str">
            <v>請按此處</v>
          </cell>
          <cell r="CT104" t="str">
            <v>請按此處</v>
          </cell>
          <cell r="CU104" t="str">
            <v>請按此處</v>
          </cell>
          <cell r="CV104">
            <v>20</v>
          </cell>
          <cell r="CW104">
            <v>44</v>
          </cell>
          <cell r="CX104" t="str">
            <v>切勿擺放總重量超過10公斤的器具於爐架上。</v>
          </cell>
          <cell r="CY104" t="str">
            <v>氣喉接駁位置：爐底後方右角</v>
          </cell>
          <cell r="CZ104" t="str">
            <v>速遞 - 四腳爐架適配器</v>
          </cell>
          <cell r="DF104"/>
          <cell r="DG104"/>
          <cell r="DI104" t="str">
            <v>information from CSH/13/0050682</v>
          </cell>
        </row>
        <row r="105">
          <cell r="A105" t="str">
            <v>shzb11sg</v>
          </cell>
          <cell r="B105" t="str">
            <v>停售</v>
          </cell>
          <cell r="E105" t="str">
            <v>Simpa</v>
          </cell>
          <cell r="F105" t="str">
            <v>SHZB11S-G</v>
          </cell>
          <cell r="I105" t="str">
            <v>講義</v>
          </cell>
          <cell r="J105" t="str">
            <v>說明書</v>
          </cell>
          <cell r="K105" t="str">
            <v>2012年6月1日</v>
          </cell>
          <cell r="L105" t="str">
            <v>2020年9月25日</v>
          </cell>
          <cell r="M105" t="str">
            <v>中國</v>
          </cell>
          <cell r="N105" t="str">
            <v>已停售</v>
          </cell>
          <cell r="P105">
            <v>60</v>
          </cell>
          <cell r="Q105">
            <v>2.3622047244094491</v>
          </cell>
          <cell r="R105">
            <v>69</v>
          </cell>
          <cell r="S105">
            <v>2.7165354330708662</v>
          </cell>
          <cell r="T105">
            <v>132</v>
          </cell>
          <cell r="U105">
            <v>5.1968503937007879</v>
          </cell>
          <cell r="V105">
            <v>288</v>
          </cell>
          <cell r="W105">
            <v>11.338582677165356</v>
          </cell>
          <cell r="X105">
            <v>515</v>
          </cell>
          <cell r="Y105">
            <v>20.275590551181104</v>
          </cell>
          <cell r="AA105">
            <v>0</v>
          </cell>
          <cell r="AC105" t="str">
            <v>266 x 490 (10.5" x 19.3")</v>
          </cell>
          <cell r="AD105">
            <v>1</v>
          </cell>
          <cell r="AJ105">
            <v>18</v>
          </cell>
          <cell r="AK105">
            <v>0</v>
          </cell>
          <cell r="AL105">
            <v>0</v>
          </cell>
          <cell r="AM105">
            <v>0</v>
          </cell>
          <cell r="AN105">
            <v>0</v>
          </cell>
          <cell r="AO105">
            <v>1.8</v>
          </cell>
          <cell r="AP105">
            <v>0</v>
          </cell>
          <cell r="AQ105">
            <v>0</v>
          </cell>
          <cell r="AR105">
            <v>0</v>
          </cell>
          <cell r="AS105">
            <v>0</v>
          </cell>
          <cell r="AT105">
            <v>5</v>
          </cell>
          <cell r="AY105">
            <v>0.5</v>
          </cell>
          <cell r="BD105">
            <v>17079.787233999999</v>
          </cell>
          <cell r="BE105">
            <v>0</v>
          </cell>
          <cell r="BF105">
            <v>0</v>
          </cell>
          <cell r="BG105">
            <v>0</v>
          </cell>
          <cell r="BH105">
            <v>0</v>
          </cell>
          <cell r="BI105">
            <v>1707.9787234</v>
          </cell>
          <cell r="BJ105">
            <v>0</v>
          </cell>
          <cell r="BK105">
            <v>0</v>
          </cell>
          <cell r="BL105">
            <v>0</v>
          </cell>
          <cell r="BM105">
            <v>0</v>
          </cell>
          <cell r="BN105">
            <v>4.6980000000000004</v>
          </cell>
          <cell r="BO105">
            <v>0</v>
          </cell>
          <cell r="BP105">
            <v>0</v>
          </cell>
          <cell r="BQ105">
            <v>0</v>
          </cell>
          <cell r="BR105">
            <v>0</v>
          </cell>
          <cell r="BS105">
            <v>0.46980000000000005</v>
          </cell>
          <cell r="BT105">
            <v>0</v>
          </cell>
          <cell r="BU105">
            <v>0</v>
          </cell>
          <cell r="BV105">
            <v>0</v>
          </cell>
          <cell r="BW105">
            <v>0</v>
          </cell>
          <cell r="BX105" t="str">
            <v>可以</v>
          </cell>
          <cell r="CC105" t="str">
            <v>(1) 銅合金密封式爐頭。
(2) 6毫米厚的強化玻璃面。</v>
          </cell>
          <cell r="CD105" t="str">
            <v>不適用</v>
          </cell>
          <cell r="CE105" t="str">
            <v>一枚D型1.5V</v>
          </cell>
          <cell r="CF105" t="str">
            <v>左前方</v>
          </cell>
          <cell r="CG105" t="str">
            <v>黑色強化玻璃</v>
          </cell>
          <cell r="CH105" t="str">
            <v>旋鈕式</v>
          </cell>
          <cell r="CI105" t="str">
            <v>旋鈕式</v>
          </cell>
          <cell r="CJ105" t="str">
            <v>雙環</v>
          </cell>
          <cell r="CK105" t="str">
            <v>不適用</v>
          </cell>
          <cell r="CL105" t="str">
            <v>不適用</v>
          </cell>
          <cell r="CM105" t="str">
            <v>不適用</v>
          </cell>
          <cell r="CN105" t="str">
            <v>不適用</v>
          </cell>
          <cell r="CO105" t="str">
            <v>不適用</v>
          </cell>
          <cell r="CP105" t="str">
            <v>不適用</v>
          </cell>
          <cell r="CQ105" t="str">
            <v>不適用</v>
          </cell>
          <cell r="CR105" t="str">
            <v>圓形四邊承托架</v>
          </cell>
          <cell r="CS105" t="str">
            <v>請按此處</v>
          </cell>
          <cell r="CT105" t="str">
            <v>請按此處</v>
          </cell>
          <cell r="CU105" t="str">
            <v>請按此處</v>
          </cell>
          <cell r="CV105">
            <v>9.6999999999999993</v>
          </cell>
          <cell r="CW105">
            <v>21.34</v>
          </cell>
          <cell r="CX105" t="str">
            <v>(1) 玻璃厚度為 6 毫米。
(2) 切勿擺放總重量超過10公斤的器具於爐架上。</v>
          </cell>
          <cell r="CY105" t="str">
            <v>氣喉接駁位置：爐底後方右角</v>
          </cell>
          <cell r="DF105"/>
          <cell r="DG105"/>
          <cell r="DI105" t="str">
            <v>速遞 - 四腳爐架適配器</v>
          </cell>
        </row>
        <row r="106">
          <cell r="A106" t="str">
            <v>tnjb72utc</v>
          </cell>
          <cell r="B106" t="str">
            <v>停售</v>
          </cell>
          <cell r="E106" t="str">
            <v>TGC</v>
          </cell>
          <cell r="F106" t="str">
            <v>TNJB72UT-C</v>
          </cell>
          <cell r="H106" t="str">
            <v>TNJB72UT-C</v>
          </cell>
          <cell r="I106" t="str">
            <v>說明書</v>
          </cell>
          <cell r="K106" t="str">
            <v>2011年12月15日</v>
          </cell>
          <cell r="L106" t="str">
            <v>2024年1月12日</v>
          </cell>
          <cell r="M106" t="str">
            <v>日本</v>
          </cell>
          <cell r="N106" t="str">
            <v>已停售</v>
          </cell>
          <cell r="O106" t="str">
            <v>請按此處</v>
          </cell>
          <cell r="P106">
            <v>66</v>
          </cell>
          <cell r="Q106">
            <v>2.598425196850394</v>
          </cell>
          <cell r="R106">
            <v>76</v>
          </cell>
          <cell r="S106">
            <v>2.9921259842519685</v>
          </cell>
          <cell r="T106">
            <v>125</v>
          </cell>
          <cell r="U106">
            <v>4.9212598425196852</v>
          </cell>
          <cell r="V106">
            <v>738</v>
          </cell>
          <cell r="W106">
            <v>29.055118110236222</v>
          </cell>
          <cell r="X106">
            <v>439</v>
          </cell>
          <cell r="Y106">
            <v>17.283464566929133</v>
          </cell>
          <cell r="Z106">
            <v>450</v>
          </cell>
          <cell r="AA106">
            <v>17.716535433070867</v>
          </cell>
          <cell r="AC106" t="str">
            <v>703 x 403 (27.7" x 15.9")</v>
          </cell>
          <cell r="AD106">
            <v>2</v>
          </cell>
          <cell r="AE106" t="str">
            <v>左</v>
          </cell>
          <cell r="AF106" t="str">
            <v>右</v>
          </cell>
          <cell r="AJ106">
            <v>20.88</v>
          </cell>
          <cell r="AK106">
            <v>20.88</v>
          </cell>
          <cell r="AL106">
            <v>0</v>
          </cell>
          <cell r="AM106">
            <v>0</v>
          </cell>
          <cell r="AN106">
            <v>0</v>
          </cell>
          <cell r="AO106">
            <v>1.08</v>
          </cell>
          <cell r="AP106">
            <v>1.08</v>
          </cell>
          <cell r="AQ106">
            <v>0</v>
          </cell>
          <cell r="AR106">
            <v>0</v>
          </cell>
          <cell r="AS106">
            <v>0</v>
          </cell>
          <cell r="AT106">
            <v>5.8</v>
          </cell>
          <cell r="AU106">
            <v>5.8</v>
          </cell>
          <cell r="AY106">
            <v>0.3</v>
          </cell>
          <cell r="AZ106">
            <v>0.3</v>
          </cell>
          <cell r="BD106">
            <v>19812.553191439998</v>
          </cell>
          <cell r="BE106">
            <v>19812.553191439998</v>
          </cell>
          <cell r="BF106">
            <v>0</v>
          </cell>
          <cell r="BG106">
            <v>0</v>
          </cell>
          <cell r="BH106">
            <v>0</v>
          </cell>
          <cell r="BI106">
            <v>1024.7872340399999</v>
          </cell>
          <cell r="BJ106">
            <v>1024.7872340399999</v>
          </cell>
          <cell r="BK106">
            <v>0</v>
          </cell>
          <cell r="BL106">
            <v>0</v>
          </cell>
          <cell r="BM106">
            <v>0</v>
          </cell>
          <cell r="BN106">
            <v>5.4496799999999999</v>
          </cell>
          <cell r="BO106">
            <v>5.4496799999999999</v>
          </cell>
          <cell r="BP106">
            <v>0</v>
          </cell>
          <cell r="BQ106">
            <v>0</v>
          </cell>
          <cell r="BR106">
            <v>0</v>
          </cell>
          <cell r="BS106">
            <v>0.28188000000000002</v>
          </cell>
          <cell r="BT106">
            <v>0.28188000000000002</v>
          </cell>
          <cell r="BU106">
            <v>0</v>
          </cell>
          <cell r="BV106">
            <v>0</v>
          </cell>
          <cell r="BW106">
            <v>0</v>
          </cell>
          <cell r="BX106" t="str">
            <v>可以</v>
          </cell>
          <cell r="BY106" t="str">
            <v>可以</v>
          </cell>
          <cell r="CC106" t="str">
            <v>(1) 右邊爐頭配備時間功能，可調校 1 分鐘至 4 小時。
(2) 黑色陶瓷玻璃面板，加上點紋圖案和銀色金屬框邊。
(3) 快易點火系統，當爐火燃點後便可放開旋鈕，點火快捷容易。
(4) 左右爐頭均具備連續使用 3 小時自動熄火安全功能。如啓動時間功能，右爐頭便只會按照設定時間熄火。</v>
          </cell>
          <cell r="CD106" t="str">
            <v>不適用</v>
          </cell>
          <cell r="CE106" t="str">
            <v>兩枚D型1.5V</v>
          </cell>
          <cell r="CF106" t="str">
            <v>爐底中央前方</v>
          </cell>
          <cell r="CG106" t="str">
            <v>黑色陶瓷玻璃，加上點紋圖案和銀色金屬框邊</v>
          </cell>
          <cell r="CH106" t="str">
            <v>旋鈕式</v>
          </cell>
          <cell r="CI106" t="str">
            <v>旋鈕式</v>
          </cell>
          <cell r="CJ106" t="str">
            <v>雙環</v>
          </cell>
          <cell r="CK106" t="str">
            <v>雙環</v>
          </cell>
          <cell r="CL106" t="str">
            <v>不適用</v>
          </cell>
          <cell r="CM106" t="str">
            <v>不適用</v>
          </cell>
          <cell r="CN106" t="str">
            <v>不適用</v>
          </cell>
          <cell r="CO106" t="str">
            <v>不適用</v>
          </cell>
          <cell r="CP106" t="str">
            <v>不適用</v>
          </cell>
          <cell r="CQ106" t="str">
            <v>不適用</v>
          </cell>
          <cell r="CR106" t="str">
            <v>圓形五邊承托架</v>
          </cell>
          <cell r="CS106" t="str">
            <v>請按此處</v>
          </cell>
          <cell r="CT106" t="str">
            <v>請按此處</v>
          </cell>
          <cell r="CU106" t="str">
            <v>請按此處</v>
          </cell>
          <cell r="CV106">
            <v>15</v>
          </cell>
          <cell r="CW106">
            <v>33</v>
          </cell>
          <cell r="CX106" t="str">
            <v>玻璃供應商：法國EuroKera
爐架圓邊至爐邊之間距離：45mm
爐架腳邊至爐邊之間距離：20mm</v>
          </cell>
          <cell r="DF106"/>
          <cell r="DG106"/>
        </row>
        <row r="107">
          <cell r="A107" t="str">
            <v>trjh2sg</v>
          </cell>
          <cell r="B107" t="str">
            <v>停售</v>
          </cell>
          <cell r="C107" t="str">
            <v>以座枱式方法安裝，請按此處</v>
          </cell>
          <cell r="E107" t="str">
            <v>TGC</v>
          </cell>
          <cell r="F107" t="str">
            <v>TRJH2S-G</v>
          </cell>
          <cell r="I107" t="str">
            <v>講義</v>
          </cell>
          <cell r="J107" t="str">
            <v>說明書</v>
          </cell>
          <cell r="K107" t="str">
            <v>2012年2月28日</v>
          </cell>
          <cell r="L107" t="str">
            <v>2023年12月28日</v>
          </cell>
          <cell r="M107" t="str">
            <v>日本</v>
          </cell>
          <cell r="N107" t="str">
            <v>已停售</v>
          </cell>
          <cell r="O107" t="str">
            <v>請按此處</v>
          </cell>
          <cell r="P107">
            <v>56</v>
          </cell>
          <cell r="Q107">
            <v>2.204724409448819</v>
          </cell>
          <cell r="R107">
            <v>96</v>
          </cell>
          <cell r="S107">
            <v>3.7795275590551185</v>
          </cell>
          <cell r="T107">
            <v>150</v>
          </cell>
          <cell r="U107">
            <v>5.9055118110236222</v>
          </cell>
          <cell r="V107">
            <v>712</v>
          </cell>
          <cell r="W107">
            <v>28.031496062992126</v>
          </cell>
          <cell r="X107">
            <v>392</v>
          </cell>
          <cell r="Y107">
            <v>15.433070866141733</v>
          </cell>
          <cell r="Z107">
            <v>440</v>
          </cell>
          <cell r="AA107">
            <v>17.322834645669293</v>
          </cell>
          <cell r="AC107" t="str">
            <v>670 x 350 (26.4" x 13.8")</v>
          </cell>
          <cell r="AD107">
            <v>2</v>
          </cell>
          <cell r="AE107" t="str">
            <v>左</v>
          </cell>
          <cell r="AF107" t="str">
            <v>右</v>
          </cell>
          <cell r="AJ107">
            <v>18</v>
          </cell>
          <cell r="AK107">
            <v>18</v>
          </cell>
          <cell r="AL107">
            <v>0</v>
          </cell>
          <cell r="AM107">
            <v>0</v>
          </cell>
          <cell r="AN107">
            <v>0</v>
          </cell>
          <cell r="AO107">
            <v>0</v>
          </cell>
          <cell r="AP107">
            <v>0</v>
          </cell>
          <cell r="AQ107">
            <v>0</v>
          </cell>
          <cell r="AR107">
            <v>0</v>
          </cell>
          <cell r="AS107">
            <v>0</v>
          </cell>
          <cell r="AT107">
            <v>5</v>
          </cell>
          <cell r="AU107">
            <v>5</v>
          </cell>
          <cell r="BD107">
            <v>17079.787233999999</v>
          </cell>
          <cell r="BE107">
            <v>17079.787233999999</v>
          </cell>
          <cell r="BF107">
            <v>0</v>
          </cell>
          <cell r="BG107">
            <v>0</v>
          </cell>
          <cell r="BH107">
            <v>0</v>
          </cell>
          <cell r="BI107">
            <v>0</v>
          </cell>
          <cell r="BJ107">
            <v>0</v>
          </cell>
          <cell r="BK107">
            <v>0</v>
          </cell>
          <cell r="BL107">
            <v>0</v>
          </cell>
          <cell r="BM107">
            <v>0</v>
          </cell>
          <cell r="BN107">
            <v>4.6980000000000004</v>
          </cell>
          <cell r="BO107">
            <v>4.6980000000000004</v>
          </cell>
          <cell r="BP107">
            <v>0</v>
          </cell>
          <cell r="BQ107">
            <v>0</v>
          </cell>
          <cell r="BR107">
            <v>0</v>
          </cell>
          <cell r="BS107">
            <v>0</v>
          </cell>
          <cell r="BT107">
            <v>0</v>
          </cell>
          <cell r="BU107">
            <v>0</v>
          </cell>
          <cell r="BV107">
            <v>0</v>
          </cell>
          <cell r="BW107">
            <v>0</v>
          </cell>
          <cell r="BX107" t="str">
            <v>不可以</v>
          </cell>
          <cell r="BY107" t="str">
            <v>不可以</v>
          </cell>
          <cell r="CC107" t="str">
            <v>(1) 前置式控制桿，同時用作電子點火和火力調節，操作簡易。
(2) 密封式爐頭，槽式火孔，搪瓷爐頭蓋爐架，強化玻璃面，玻璃底部加上保護鋁膜，堅固耐用。
(3) 特別爐身設計和內置穩壓器，適合嵌入式或座枱式安裝。
(4) 不需接駁調壓器。</v>
          </cell>
          <cell r="CD107" t="str">
            <v>不適用</v>
          </cell>
          <cell r="CE107" t="str">
            <v>一枚C型1.5V</v>
          </cell>
          <cell r="CF107" t="str">
            <v>爐底中前方</v>
          </cell>
          <cell r="CG107" t="str">
            <v>黑色強化玻璃連鋁合金框架
白色強化玻璃連鋁合金框架 (於2018年6月28日，已停售)</v>
          </cell>
          <cell r="CH107" t="str">
            <v>推桿式</v>
          </cell>
          <cell r="CI107" t="str">
            <v>推桿式</v>
          </cell>
          <cell r="CL107" t="str">
            <v>不適用</v>
          </cell>
          <cell r="CM107" t="str">
            <v>不適用</v>
          </cell>
          <cell r="CN107" t="str">
            <v>不適用</v>
          </cell>
          <cell r="CO107" t="str">
            <v>不適用</v>
          </cell>
          <cell r="CP107" t="str">
            <v>不適用</v>
          </cell>
          <cell r="CQ107" t="str">
            <v>不適用</v>
          </cell>
          <cell r="CR107" t="str">
            <v>圓形四邊承托架</v>
          </cell>
          <cell r="CS107" t="str">
            <v>請按此處</v>
          </cell>
          <cell r="CT107" t="str">
            <v>請按此處</v>
          </cell>
          <cell r="CU107" t="str">
            <v>請按此處</v>
          </cell>
          <cell r="CV107">
            <v>11</v>
          </cell>
          <cell r="CW107">
            <v>24.200000000000003</v>
          </cell>
          <cell r="CX107" t="str">
            <v xml:space="preserve">如客戶購買時，請向客人詢問是那一款式的安裝方法及用適當的 Product Code 落單。
如客人日後需要重裝爐具時，請以合適的重裝 (Fix Own) 費用落單。
        (即如客人之前是選購座枱式煮食爐 (Hotplate)安裝，重裝亦需要座枱式安裝方法，便必須按照重裝座枱煮食爐的費用落單)
</v>
          </cell>
          <cell r="CY107" t="str">
            <v>速遞 - 白色玻璃</v>
          </cell>
          <cell r="CZ107" t="str">
            <v>速遞 - 配合不鏽鋼爐頭配件</v>
          </cell>
          <cell r="DF107"/>
          <cell r="DG107"/>
        </row>
        <row r="108">
          <cell r="A108" t="str">
            <v>trjb72vsc</v>
          </cell>
          <cell r="B108" t="str">
            <v>停售</v>
          </cell>
          <cell r="E108" t="str">
            <v>TGC</v>
          </cell>
          <cell r="F108" t="str">
            <v>TRJB72VS-C</v>
          </cell>
          <cell r="I108" t="str">
            <v>講義</v>
          </cell>
          <cell r="J108" t="str">
            <v>說明書</v>
          </cell>
          <cell r="K108" t="str">
            <v>2012年5月18日</v>
          </cell>
          <cell r="L108" t="str">
            <v>2023年2月23日</v>
          </cell>
          <cell r="M108" t="str">
            <v>日本</v>
          </cell>
          <cell r="N108" t="str">
            <v>已停售</v>
          </cell>
          <cell r="O108" t="str">
            <v>請按此處</v>
          </cell>
          <cell r="P108">
            <v>73</v>
          </cell>
          <cell r="Q108">
            <v>2.8740157480314963</v>
          </cell>
          <cell r="R108">
            <v>82</v>
          </cell>
          <cell r="S108">
            <v>3.2283464566929134</v>
          </cell>
          <cell r="T108">
            <v>134</v>
          </cell>
          <cell r="U108">
            <v>5.2755905511811028</v>
          </cell>
          <cell r="V108">
            <v>742</v>
          </cell>
          <cell r="W108">
            <v>29.212598425196852</v>
          </cell>
          <cell r="X108">
            <v>440</v>
          </cell>
          <cell r="Y108">
            <v>17.322834645669293</v>
          </cell>
          <cell r="AA108">
            <v>0</v>
          </cell>
          <cell r="AC108" t="str">
            <v>703 x 403 (27.7" x 15.9")</v>
          </cell>
          <cell r="AD108">
            <v>2</v>
          </cell>
          <cell r="AE108" t="str">
            <v>左</v>
          </cell>
          <cell r="AF108" t="str">
            <v>右</v>
          </cell>
          <cell r="AJ108">
            <v>19.079999999999998</v>
          </cell>
          <cell r="AK108">
            <v>19.079999999999998</v>
          </cell>
          <cell r="AL108">
            <v>0</v>
          </cell>
          <cell r="AM108">
            <v>0</v>
          </cell>
          <cell r="AN108">
            <v>0</v>
          </cell>
          <cell r="AO108">
            <v>1.4400000000000002</v>
          </cell>
          <cell r="AP108">
            <v>1.4400000000000002</v>
          </cell>
          <cell r="AQ108">
            <v>0</v>
          </cell>
          <cell r="AR108">
            <v>0</v>
          </cell>
          <cell r="AS108">
            <v>0</v>
          </cell>
          <cell r="AT108">
            <v>5.3</v>
          </cell>
          <cell r="AU108">
            <v>5.3</v>
          </cell>
          <cell r="AY108">
            <v>0.4</v>
          </cell>
          <cell r="AZ108">
            <v>0.4</v>
          </cell>
          <cell r="BD108">
            <v>18104.574468039998</v>
          </cell>
          <cell r="BE108">
            <v>18104.574468039998</v>
          </cell>
          <cell r="BF108">
            <v>0</v>
          </cell>
          <cell r="BG108">
            <v>0</v>
          </cell>
          <cell r="BH108">
            <v>0</v>
          </cell>
          <cell r="BI108">
            <v>1366.3829787200002</v>
          </cell>
          <cell r="BJ108">
            <v>1366.3829787200002</v>
          </cell>
          <cell r="BK108">
            <v>0</v>
          </cell>
          <cell r="BL108">
            <v>0</v>
          </cell>
          <cell r="BM108">
            <v>0</v>
          </cell>
          <cell r="BN108">
            <v>4.9798799999999996</v>
          </cell>
          <cell r="BO108">
            <v>4.9798799999999996</v>
          </cell>
          <cell r="BP108">
            <v>0</v>
          </cell>
          <cell r="BQ108">
            <v>0</v>
          </cell>
          <cell r="BR108">
            <v>0</v>
          </cell>
          <cell r="BS108">
            <v>0.37584000000000006</v>
          </cell>
          <cell r="BT108">
            <v>0.37584000000000006</v>
          </cell>
          <cell r="BU108">
            <v>0</v>
          </cell>
          <cell r="BV108">
            <v>0</v>
          </cell>
          <cell r="BW108">
            <v>0</v>
          </cell>
          <cell r="BX108" t="str">
            <v>不可以</v>
          </cell>
          <cell r="BY108" t="str">
            <v>不可以</v>
          </cell>
          <cell r="CC108" t="str">
            <v>(1) 陶瓷玻璃面板配輕觸開關及密封爐頭。
(2) 全新高效蓮芯火爐頭，火力更平均。
(3) 不鏽鋼流線形爐架。
(4) 9段火力設計，下層火可獨立運作。
(5) 獨立時間掣功能﹝1分鐘至4小時﹞。
(6) 3小時自動熄火功能﹝註：沒有設定時間功能時，此功能方可運作。)。
(7) 智能觸控識別保護，分辨按鍵的感應是人手操作或是因物件接觸，防止爐頭錯誤啟動，安全可靠。</v>
          </cell>
          <cell r="CD108" t="str">
            <v>交流電</v>
          </cell>
          <cell r="CE108" t="str">
            <v>不適用</v>
          </cell>
          <cell r="CF108" t="str">
            <v>不適用</v>
          </cell>
          <cell r="CG108" t="str">
            <v>黑色陶瓷玻璃</v>
          </cell>
          <cell r="CH108" t="str">
            <v>輕觸式</v>
          </cell>
          <cell r="CI108" t="str">
            <v>輕觸式</v>
          </cell>
          <cell r="CJ108" t="str">
            <v>雙環</v>
          </cell>
          <cell r="CK108" t="str">
            <v>雙環</v>
          </cell>
          <cell r="CL108" t="str">
            <v>不適用</v>
          </cell>
          <cell r="CM108" t="str">
            <v>不適用</v>
          </cell>
          <cell r="CN108" t="str">
            <v>不適用</v>
          </cell>
          <cell r="CO108" t="str">
            <v>不適用</v>
          </cell>
          <cell r="CP108" t="str">
            <v>不適用</v>
          </cell>
          <cell r="CQ108" t="str">
            <v>不適用</v>
          </cell>
          <cell r="CR108" t="str">
            <v>圓形四邊承托架</v>
          </cell>
          <cell r="CS108" t="str">
            <v>請按此處</v>
          </cell>
          <cell r="CT108" t="str">
            <v>請按此處</v>
          </cell>
          <cell r="CU108" t="str">
            <v>請按此處</v>
          </cell>
          <cell r="CV108">
            <v>15</v>
          </cell>
          <cell r="CW108">
            <v>33</v>
          </cell>
          <cell r="CX108"/>
          <cell r="DF108"/>
          <cell r="DG108"/>
        </row>
        <row r="109">
          <cell r="A109" t="str">
            <v>srdb63_670</v>
          </cell>
          <cell r="B109" t="str">
            <v>現售</v>
          </cell>
          <cell r="E109" t="str">
            <v>Simpa</v>
          </cell>
          <cell r="F109" t="str">
            <v>SRDB63S</v>
          </cell>
          <cell r="G109" t="str">
            <v>RA3BD</v>
          </cell>
          <cell r="I109" t="str">
            <v>說明書</v>
          </cell>
          <cell r="K109" t="str">
            <v>2012年10月4日</v>
          </cell>
          <cell r="M109" t="str">
            <v>印尼</v>
          </cell>
          <cell r="N109">
            <v>4830</v>
          </cell>
          <cell r="O109" t="str">
            <v>請按此處</v>
          </cell>
          <cell r="P109">
            <v>54</v>
          </cell>
          <cell r="Q109">
            <v>2.1259842519685042</v>
          </cell>
          <cell r="R109">
            <v>72</v>
          </cell>
          <cell r="S109">
            <v>2.8346456692913389</v>
          </cell>
          <cell r="T109">
            <v>128</v>
          </cell>
          <cell r="U109">
            <v>5.0393700787401574</v>
          </cell>
          <cell r="V109">
            <v>770</v>
          </cell>
          <cell r="W109">
            <v>30.314960629921263</v>
          </cell>
          <cell r="X109">
            <v>452</v>
          </cell>
          <cell r="Y109">
            <v>17.795275590551181</v>
          </cell>
          <cell r="AA109">
            <v>0</v>
          </cell>
          <cell r="AC109" t="str">
            <v>670 x 350 (26.4" x 13.8") / 703 x 403 (27.7" x 15.9")</v>
          </cell>
          <cell r="AD109">
            <v>3</v>
          </cell>
          <cell r="AE109" t="str">
            <v>左</v>
          </cell>
          <cell r="AF109" t="str">
            <v>中</v>
          </cell>
          <cell r="AG109" t="str">
            <v>右</v>
          </cell>
          <cell r="AJ109">
            <v>18</v>
          </cell>
          <cell r="AK109">
            <v>6.12</v>
          </cell>
          <cell r="AL109">
            <v>18</v>
          </cell>
          <cell r="AM109">
            <v>0</v>
          </cell>
          <cell r="AN109">
            <v>0</v>
          </cell>
          <cell r="AO109">
            <v>1.08</v>
          </cell>
          <cell r="AP109">
            <v>2.16</v>
          </cell>
          <cell r="AQ109">
            <v>1.08</v>
          </cell>
          <cell r="AR109">
            <v>0</v>
          </cell>
          <cell r="AS109">
            <v>0</v>
          </cell>
          <cell r="AT109">
            <v>5</v>
          </cell>
          <cell r="AU109">
            <v>1.7</v>
          </cell>
          <cell r="AV109">
            <v>5</v>
          </cell>
          <cell r="AY109">
            <v>0.3</v>
          </cell>
          <cell r="AZ109">
            <v>0.6</v>
          </cell>
          <cell r="BA109">
            <v>0.3</v>
          </cell>
          <cell r="BD109">
            <v>17079.787233999999</v>
          </cell>
          <cell r="BE109">
            <v>5807.1276595600002</v>
          </cell>
          <cell r="BF109">
            <v>17079.787233999999</v>
          </cell>
          <cell r="BG109">
            <v>0</v>
          </cell>
          <cell r="BH109">
            <v>0</v>
          </cell>
          <cell r="BI109">
            <v>1024.7872340399999</v>
          </cell>
          <cell r="BJ109">
            <v>2049.5744680799999</v>
          </cell>
          <cell r="BK109">
            <v>1024.7872340399999</v>
          </cell>
          <cell r="BL109">
            <v>0</v>
          </cell>
          <cell r="BM109">
            <v>0</v>
          </cell>
          <cell r="BN109">
            <v>4.6980000000000004</v>
          </cell>
          <cell r="BO109">
            <v>1.5973200000000001</v>
          </cell>
          <cell r="BP109">
            <v>4.6980000000000004</v>
          </cell>
          <cell r="BQ109">
            <v>0</v>
          </cell>
          <cell r="BR109">
            <v>0</v>
          </cell>
          <cell r="BS109">
            <v>0.28188000000000002</v>
          </cell>
          <cell r="BT109">
            <v>0.56376000000000004</v>
          </cell>
          <cell r="BU109">
            <v>0.28188000000000002</v>
          </cell>
          <cell r="BV109">
            <v>0</v>
          </cell>
          <cell r="BW109">
            <v>0</v>
          </cell>
          <cell r="BX109" t="str">
            <v>可以</v>
          </cell>
          <cell r="BY109" t="str">
            <v>不可以</v>
          </cell>
          <cell r="BZ109" t="str">
            <v>可以</v>
          </cell>
          <cell r="CC109" t="str">
            <v>(1) 黑色金邊爐頭，歐式鑄鐵爐架和黑色金屬旋鈕，配襯不鏽鋼拉絲面板﹝304號不銹鋼﹞，外形高貴典雅。
(2) 5千瓦雙環爐頭，獨立芯火，火力強勁，控制靈活，煮食得心應手。
(3) 密封式爐頭，槽式火孔，銅合金爐頭蓋，表面加上耐高溫塗層。
(4) 中間爐架，方便攞放器皿。
(5) 配合隨爐附上塾片 (Spacer)，技術員可因應廚櫃尺寸調校塾片(Spacer)、配合實際需要安裝於670x350 和 703x403的櫃面開孔，安裝靈活。</v>
          </cell>
          <cell r="CD109" t="str">
            <v>不適用</v>
          </cell>
          <cell r="CE109" t="str">
            <v>一枚C型1.5V</v>
          </cell>
          <cell r="CF109" t="str">
            <v>爐底中央</v>
          </cell>
          <cell r="CG109" t="str">
            <v>不銹鋼</v>
          </cell>
          <cell r="CH109" t="str">
            <v>旋鈕式</v>
          </cell>
          <cell r="CI109" t="str">
            <v>旋鈕式</v>
          </cell>
          <cell r="CJ109" t="str">
            <v>雙環</v>
          </cell>
          <cell r="CK109" t="str">
            <v>雙環</v>
          </cell>
          <cell r="CL109" t="str">
            <v>不適用</v>
          </cell>
          <cell r="CM109" t="str">
            <v>單環</v>
          </cell>
          <cell r="CN109" t="str">
            <v>不適用</v>
          </cell>
          <cell r="CO109" t="str">
            <v>不適用</v>
          </cell>
          <cell r="CP109" t="str">
            <v>不適用</v>
          </cell>
          <cell r="CQ109" t="str">
            <v>不適用</v>
          </cell>
          <cell r="CR109" t="str">
            <v>四方四邊承托架</v>
          </cell>
          <cell r="CS109" t="str">
            <v>請按此處</v>
          </cell>
          <cell r="CT109" t="str">
            <v>請按此處</v>
          </cell>
          <cell r="CU109" t="str">
            <v>請按此處</v>
          </cell>
          <cell r="CV109">
            <v>15.4</v>
          </cell>
          <cell r="CW109">
            <v>33.880000000000003</v>
          </cell>
          <cell r="CX109" t="str">
            <v>(1) 配合隨爐附上塾片 (Spacer)，技術員可因應廚櫃尺寸調校塾片(Spacer)、配合實際需要安裝於670x350 和 703x403的櫃面開孔，安裝靈活。
(2) 爐具底盤物料：鐡 (informed by Ivan Cheung )</v>
          </cell>
          <cell r="DF109" t="str">
            <v>貨源正常</v>
          </cell>
          <cell r="DG109" t="str">
            <v>請按此處</v>
          </cell>
        </row>
        <row r="110">
          <cell r="A110" t="str">
            <v>srdb63</v>
          </cell>
          <cell r="B110" t="str">
            <v>現售</v>
          </cell>
          <cell r="C110" t="str">
            <v>另有開孔670mmx305mm</v>
          </cell>
          <cell r="E110" t="str">
            <v>Simpa</v>
          </cell>
          <cell r="F110" t="str">
            <v>SRDB63S</v>
          </cell>
          <cell r="G110" t="str">
            <v>RA3BD</v>
          </cell>
          <cell r="K110" t="str">
            <v>2012年10月4日</v>
          </cell>
          <cell r="M110" t="str">
            <v>印尼</v>
          </cell>
          <cell r="N110">
            <v>4830</v>
          </cell>
          <cell r="O110" t="str">
            <v>請按此處</v>
          </cell>
          <cell r="P110">
            <v>54</v>
          </cell>
          <cell r="Q110">
            <v>2.1259842519685042</v>
          </cell>
          <cell r="R110">
            <v>72</v>
          </cell>
          <cell r="S110">
            <v>2.8346456692913389</v>
          </cell>
          <cell r="T110">
            <v>128</v>
          </cell>
          <cell r="U110">
            <v>5.0393700787401574</v>
          </cell>
          <cell r="V110">
            <v>770</v>
          </cell>
          <cell r="W110">
            <v>30.314960629921263</v>
          </cell>
          <cell r="X110">
            <v>452</v>
          </cell>
          <cell r="Y110">
            <v>17.795275590551181</v>
          </cell>
          <cell r="AA110">
            <v>0</v>
          </cell>
          <cell r="AC110" t="str">
            <v>703 x 403 (27.7" x 15.9")</v>
          </cell>
          <cell r="AD110">
            <v>3</v>
          </cell>
          <cell r="AE110" t="str">
            <v>左</v>
          </cell>
          <cell r="AF110" t="str">
            <v>中</v>
          </cell>
          <cell r="AG110" t="str">
            <v>右</v>
          </cell>
          <cell r="AJ110">
            <v>18</v>
          </cell>
          <cell r="AK110">
            <v>6.12</v>
          </cell>
          <cell r="AL110">
            <v>18</v>
          </cell>
          <cell r="AM110">
            <v>0</v>
          </cell>
          <cell r="AN110">
            <v>0</v>
          </cell>
          <cell r="AO110">
            <v>1.08</v>
          </cell>
          <cell r="AP110">
            <v>2.16</v>
          </cell>
          <cell r="AQ110">
            <v>1.08</v>
          </cell>
          <cell r="AR110">
            <v>0</v>
          </cell>
          <cell r="AS110">
            <v>0</v>
          </cell>
          <cell r="AT110">
            <v>5</v>
          </cell>
          <cell r="AU110">
            <v>1.7</v>
          </cell>
          <cell r="AV110">
            <v>5</v>
          </cell>
          <cell r="AY110">
            <v>0.3</v>
          </cell>
          <cell r="AZ110">
            <v>0.6</v>
          </cell>
          <cell r="BA110">
            <v>0.3</v>
          </cell>
          <cell r="BD110">
            <v>17079.787233999999</v>
          </cell>
          <cell r="BE110">
            <v>5807.1276595600002</v>
          </cell>
          <cell r="BF110">
            <v>17079.787233999999</v>
          </cell>
          <cell r="BG110">
            <v>0</v>
          </cell>
          <cell r="BH110">
            <v>0</v>
          </cell>
          <cell r="BI110">
            <v>1024.7872340399999</v>
          </cell>
          <cell r="BJ110">
            <v>2049.5744680799999</v>
          </cell>
          <cell r="BK110">
            <v>1024.7872340399999</v>
          </cell>
          <cell r="BL110">
            <v>0</v>
          </cell>
          <cell r="BM110">
            <v>0</v>
          </cell>
          <cell r="BN110">
            <v>4.6980000000000004</v>
          </cell>
          <cell r="BO110">
            <v>1.5973200000000001</v>
          </cell>
          <cell r="BP110">
            <v>4.6980000000000004</v>
          </cell>
          <cell r="BQ110">
            <v>0</v>
          </cell>
          <cell r="BR110">
            <v>0</v>
          </cell>
          <cell r="BS110">
            <v>0.28188000000000002</v>
          </cell>
          <cell r="BT110">
            <v>0.56376000000000004</v>
          </cell>
          <cell r="BU110">
            <v>0.28188000000000002</v>
          </cell>
          <cell r="BV110">
            <v>0</v>
          </cell>
          <cell r="BW110">
            <v>0</v>
          </cell>
          <cell r="BX110" t="str">
            <v>可以</v>
          </cell>
          <cell r="BY110" t="str">
            <v>不可以</v>
          </cell>
          <cell r="BZ110" t="str">
            <v>可以</v>
          </cell>
          <cell r="CC110" t="str">
            <v xml:space="preserve">(1) 黑色金邊爐頭，歐式鑄鐵爐架和黑色金屬旋鈕，配襯不鏽鋼拉絲面板﹝304號不銹鋼﹞，外形高貴典雅。
(2) 5千瓦雙環爐頭，獨立芯火，火力強勁，控制靈活，煮食得心應手。
(3) 密封式爐頭，槽式火孔，銅合金爐頭蓋，表面加上耐高溫塗層。
(4) 中間爐架，方便攞放器皿。
(5) 配合隨爐附上塾塊，適合安裝於670x350 和 703x403的櫃面開孔，安裝靈活。 </v>
          </cell>
          <cell r="CD110" t="str">
            <v>不適用</v>
          </cell>
          <cell r="CE110" t="str">
            <v>一枚C型1.5V</v>
          </cell>
          <cell r="CF110" t="str">
            <v>資料不詳</v>
          </cell>
          <cell r="CG110" t="str">
            <v>不銹鋼</v>
          </cell>
          <cell r="CH110" t="str">
            <v>旋鈕式</v>
          </cell>
          <cell r="CI110" t="str">
            <v>旋鈕式</v>
          </cell>
          <cell r="CJ110" t="str">
            <v>雙環</v>
          </cell>
          <cell r="CK110" t="str">
            <v>雙環</v>
          </cell>
          <cell r="CL110" t="str">
            <v>不適用</v>
          </cell>
          <cell r="CM110" t="str">
            <v>單環</v>
          </cell>
          <cell r="CN110" t="str">
            <v>不適用</v>
          </cell>
          <cell r="CO110" t="str">
            <v>不適用</v>
          </cell>
          <cell r="CP110" t="str">
            <v>不適用</v>
          </cell>
          <cell r="CQ110" t="str">
            <v>不適用</v>
          </cell>
          <cell r="CR110" t="str">
            <v>四方四邊承托架</v>
          </cell>
          <cell r="CS110" t="str">
            <v>請按此處</v>
          </cell>
          <cell r="CT110" t="str">
            <v>請按此處</v>
          </cell>
          <cell r="CU110" t="str">
            <v>不適用</v>
          </cell>
          <cell r="CV110">
            <v>15.4</v>
          </cell>
          <cell r="CW110">
            <v>33.880000000000003</v>
          </cell>
          <cell r="CX110" t="str">
            <v>可安裝於櫃面開孔670x350。</v>
          </cell>
          <cell r="DF110" t="str">
            <v>貨源正常</v>
          </cell>
          <cell r="DG110" t="str">
            <v>請按此處</v>
          </cell>
        </row>
        <row r="111">
          <cell r="A111" t="str">
            <v>srdb62_670</v>
          </cell>
          <cell r="B111" t="str">
            <v>現售</v>
          </cell>
          <cell r="E111" t="str">
            <v>Simpa</v>
          </cell>
          <cell r="F111" t="str">
            <v>SRDB62S</v>
          </cell>
          <cell r="G111" t="str">
            <v>RA2BD</v>
          </cell>
          <cell r="I111" t="str">
            <v>說明書</v>
          </cell>
          <cell r="K111" t="str">
            <v>2012年10月4日</v>
          </cell>
          <cell r="M111" t="str">
            <v>印尼</v>
          </cell>
          <cell r="N111">
            <v>4430</v>
          </cell>
          <cell r="O111" t="str">
            <v>請按此處</v>
          </cell>
          <cell r="P111">
            <v>54</v>
          </cell>
          <cell r="Q111">
            <v>2.1259842519685042</v>
          </cell>
          <cell r="R111">
            <v>72</v>
          </cell>
          <cell r="S111">
            <v>2.8346456692913389</v>
          </cell>
          <cell r="T111">
            <v>128</v>
          </cell>
          <cell r="U111">
            <v>5.0393700787401574</v>
          </cell>
          <cell r="V111">
            <v>770</v>
          </cell>
          <cell r="W111">
            <v>30.314960629921263</v>
          </cell>
          <cell r="X111">
            <v>452</v>
          </cell>
          <cell r="Y111">
            <v>17.795275590551181</v>
          </cell>
          <cell r="Z111">
            <v>470</v>
          </cell>
          <cell r="AA111">
            <v>18.503937007874018</v>
          </cell>
          <cell r="AC111" t="str">
            <v>670 x 350 (26.4" x 13.8") / 703 x 403 (27.7" x 15.9")</v>
          </cell>
          <cell r="AD111">
            <v>2</v>
          </cell>
          <cell r="AE111" t="str">
            <v>左</v>
          </cell>
          <cell r="AF111" t="str">
            <v>右</v>
          </cell>
          <cell r="AJ111">
            <v>18</v>
          </cell>
          <cell r="AK111">
            <v>18</v>
          </cell>
          <cell r="AL111">
            <v>0</v>
          </cell>
          <cell r="AM111">
            <v>0</v>
          </cell>
          <cell r="AN111">
            <v>0</v>
          </cell>
          <cell r="AO111">
            <v>1.08</v>
          </cell>
          <cell r="AP111">
            <v>1.08</v>
          </cell>
          <cell r="AQ111">
            <v>0</v>
          </cell>
          <cell r="AR111">
            <v>0</v>
          </cell>
          <cell r="AS111">
            <v>0</v>
          </cell>
          <cell r="AT111">
            <v>5</v>
          </cell>
          <cell r="AU111">
            <v>5</v>
          </cell>
          <cell r="AY111">
            <v>0.3</v>
          </cell>
          <cell r="AZ111">
            <v>0.3</v>
          </cell>
          <cell r="BD111">
            <v>17079.787233999999</v>
          </cell>
          <cell r="BE111">
            <v>17079.787233999999</v>
          </cell>
          <cell r="BF111">
            <v>0</v>
          </cell>
          <cell r="BG111">
            <v>0</v>
          </cell>
          <cell r="BH111">
            <v>0</v>
          </cell>
          <cell r="BI111">
            <v>1024.7872340399999</v>
          </cell>
          <cell r="BJ111">
            <v>1024.7872340399999</v>
          </cell>
          <cell r="BK111">
            <v>0</v>
          </cell>
          <cell r="BL111">
            <v>0</v>
          </cell>
          <cell r="BM111">
            <v>0</v>
          </cell>
          <cell r="BN111">
            <v>4.6980000000000004</v>
          </cell>
          <cell r="BO111">
            <v>4.6980000000000004</v>
          </cell>
          <cell r="BP111">
            <v>0</v>
          </cell>
          <cell r="BQ111">
            <v>0</v>
          </cell>
          <cell r="BR111">
            <v>0</v>
          </cell>
          <cell r="BS111">
            <v>0.28188000000000002</v>
          </cell>
          <cell r="BT111">
            <v>0.28188000000000002</v>
          </cell>
          <cell r="BU111">
            <v>0</v>
          </cell>
          <cell r="BV111">
            <v>0</v>
          </cell>
          <cell r="BW111">
            <v>0</v>
          </cell>
          <cell r="BX111" t="str">
            <v>可以</v>
          </cell>
          <cell r="BY111" t="str">
            <v>可以</v>
          </cell>
          <cell r="CC111" t="str">
            <v>(1) 黑色金邊爐頭，歐式鑄鐵爐架和黑色金屬旋鈕，配襯不鏽鋼拉絲面板﹝304號不銹鋼﹞，外形高貴典雅。
(2) 5千瓦雙環爐頭，獨立芯火，火力強勁，控制靈活，煮食得心應手。
(3) 密封式爐頭，槽式火孔，銅合金爐頭蓋，表面加上耐高溫塗層。
(4) 中間爐架，方便攞放器皿。
(5) 配合隨爐附上塾片 (Spacer)，技術員可因應廚櫃尺寸調校塾片(Spacer)、配合實際需要安裝於670x350 和 703x403的櫃面開孔，安裝靈活。</v>
          </cell>
          <cell r="CD111" t="str">
            <v>不適用</v>
          </cell>
          <cell r="CE111" t="str">
            <v>一枚C型1.5V</v>
          </cell>
          <cell r="CF111" t="str">
            <v>爐底中央</v>
          </cell>
          <cell r="CG111" t="str">
            <v>不銹鋼</v>
          </cell>
          <cell r="CH111" t="str">
            <v>旋鈕式</v>
          </cell>
          <cell r="CI111" t="str">
            <v>旋鈕式</v>
          </cell>
          <cell r="CJ111" t="str">
            <v>雙環</v>
          </cell>
          <cell r="CK111" t="str">
            <v>雙環</v>
          </cell>
          <cell r="CL111" t="str">
            <v>不適用</v>
          </cell>
          <cell r="CM111" t="str">
            <v>不適用</v>
          </cell>
          <cell r="CN111" t="str">
            <v>不適用</v>
          </cell>
          <cell r="CO111" t="str">
            <v>不適用</v>
          </cell>
          <cell r="CP111" t="str">
            <v>不適用</v>
          </cell>
          <cell r="CQ111" t="str">
            <v>不適用</v>
          </cell>
          <cell r="CR111" t="str">
            <v>四方四邊承托架</v>
          </cell>
          <cell r="CS111" t="str">
            <v>請按此處</v>
          </cell>
          <cell r="CT111" t="str">
            <v>請按此處</v>
          </cell>
          <cell r="CU111" t="str">
            <v>請按此處</v>
          </cell>
          <cell r="CV111">
            <v>14.6</v>
          </cell>
          <cell r="CW111">
            <v>32.120000000000005</v>
          </cell>
          <cell r="CX111" t="str">
            <v>(1)可安裝於櫃面開孔703x403。
(2)爐頭中心距離資料：
爐頭中心與爐邊的距離是6吋(152毫米) (向左及右邊度)
爐頭中心爐邊距離是8吋(203毫米) (向上邊度)
爐頭中心與爐邊的距離是10吋(254毫米)(向下邊度)
(圖示，請按此處)
(3) 爐具底盤物料：鐡 (informed by Ivan Cheung )</v>
          </cell>
          <cell r="DF111" t="str">
            <v>貨源正常</v>
          </cell>
          <cell r="DG111" t="str">
            <v>https://goo.gl/8uaNPi</v>
          </cell>
        </row>
        <row r="112">
          <cell r="A112" t="str">
            <v>srdb62</v>
          </cell>
          <cell r="B112" t="str">
            <v>現售</v>
          </cell>
          <cell r="C112" t="str">
            <v>另有開孔670mmx305mm</v>
          </cell>
          <cell r="E112" t="str">
            <v>Simpa</v>
          </cell>
          <cell r="F112" t="str">
            <v>SRDB62S</v>
          </cell>
          <cell r="G112" t="str">
            <v>RA2BD</v>
          </cell>
          <cell r="K112" t="str">
            <v>2012年10月4日</v>
          </cell>
          <cell r="M112" t="str">
            <v>印尼</v>
          </cell>
          <cell r="N112">
            <v>4430</v>
          </cell>
          <cell r="O112" t="str">
            <v>請按此處</v>
          </cell>
          <cell r="P112">
            <v>54</v>
          </cell>
          <cell r="Q112">
            <v>2.1259842519685042</v>
          </cell>
          <cell r="R112">
            <v>72</v>
          </cell>
          <cell r="S112">
            <v>2.8346456692913389</v>
          </cell>
          <cell r="T112">
            <v>128</v>
          </cell>
          <cell r="U112">
            <v>5.0393700787401574</v>
          </cell>
          <cell r="V112">
            <v>770</v>
          </cell>
          <cell r="W112">
            <v>30.314960629921263</v>
          </cell>
          <cell r="X112">
            <v>452</v>
          </cell>
          <cell r="Y112">
            <v>17.795275590551181</v>
          </cell>
          <cell r="AA112">
            <v>0</v>
          </cell>
          <cell r="AC112" t="str">
            <v>703 x 403 (27.7" x 15.9")</v>
          </cell>
          <cell r="AD112">
            <v>2</v>
          </cell>
          <cell r="AE112" t="str">
            <v>左</v>
          </cell>
          <cell r="AF112" t="str">
            <v>右</v>
          </cell>
          <cell r="AJ112">
            <v>18</v>
          </cell>
          <cell r="AK112">
            <v>18</v>
          </cell>
          <cell r="AL112">
            <v>0</v>
          </cell>
          <cell r="AM112">
            <v>0</v>
          </cell>
          <cell r="AN112">
            <v>0</v>
          </cell>
          <cell r="AO112">
            <v>1.08</v>
          </cell>
          <cell r="AP112">
            <v>1.08</v>
          </cell>
          <cell r="AQ112">
            <v>0</v>
          </cell>
          <cell r="AR112">
            <v>0</v>
          </cell>
          <cell r="AS112">
            <v>0</v>
          </cell>
          <cell r="AT112">
            <v>5</v>
          </cell>
          <cell r="AU112">
            <v>5</v>
          </cell>
          <cell r="AY112">
            <v>0.3</v>
          </cell>
          <cell r="AZ112">
            <v>0.3</v>
          </cell>
          <cell r="BD112">
            <v>17079.787233999999</v>
          </cell>
          <cell r="BE112">
            <v>17079.787233999999</v>
          </cell>
          <cell r="BF112">
            <v>0</v>
          </cell>
          <cell r="BG112">
            <v>0</v>
          </cell>
          <cell r="BH112">
            <v>0</v>
          </cell>
          <cell r="BI112">
            <v>1024.7872340399999</v>
          </cell>
          <cell r="BJ112">
            <v>1024.7872340399999</v>
          </cell>
          <cell r="BK112">
            <v>0</v>
          </cell>
          <cell r="BL112">
            <v>0</v>
          </cell>
          <cell r="BM112">
            <v>0</v>
          </cell>
          <cell r="BN112">
            <v>4.6980000000000004</v>
          </cell>
          <cell r="BO112">
            <v>4.6980000000000004</v>
          </cell>
          <cell r="BP112">
            <v>0</v>
          </cell>
          <cell r="BQ112">
            <v>0</v>
          </cell>
          <cell r="BR112">
            <v>0</v>
          </cell>
          <cell r="BS112">
            <v>0.28188000000000002</v>
          </cell>
          <cell r="BT112">
            <v>0.28188000000000002</v>
          </cell>
          <cell r="BU112">
            <v>0</v>
          </cell>
          <cell r="BV112">
            <v>0</v>
          </cell>
          <cell r="BW112">
            <v>0</v>
          </cell>
          <cell r="BX112" t="str">
            <v>可以</v>
          </cell>
          <cell r="BY112" t="str">
            <v>可以</v>
          </cell>
          <cell r="CC112" t="str">
            <v>(1) 黑色金邊爐頭，歐式鑄鐵爐架和黑色金屬旋鈕，配襯不鏽鋼拉絲面板﹝304號不銹鋼﹞，外形高貴典雅。
(2) 5千瓦雙環爐頭，獨立芯火，火力強勁，控制靈活，煮食得心應手。
(3) 密封式爐頭，槽式火孔，銅合金爐頭蓋，表面加上耐高溫塗層。
(4) 中間爐架，方便攞放器皿。
(5) 配合隨爐附上塾塊，適合安裝於670x350 和 703x403的櫃面開孔，安裝靈活。</v>
          </cell>
          <cell r="CD112" t="str">
            <v>不適用</v>
          </cell>
          <cell r="CE112" t="str">
            <v>一枚C型1.5V</v>
          </cell>
          <cell r="CF112" t="str">
            <v>資料不詳</v>
          </cell>
          <cell r="CG112" t="str">
            <v>不銹鋼</v>
          </cell>
          <cell r="CH112" t="str">
            <v>旋鈕式</v>
          </cell>
          <cell r="CI112" t="str">
            <v>旋鈕式</v>
          </cell>
          <cell r="CJ112" t="str">
            <v>雙環</v>
          </cell>
          <cell r="CK112" t="str">
            <v>雙環</v>
          </cell>
          <cell r="CL112" t="str">
            <v>不適用</v>
          </cell>
          <cell r="CM112" t="str">
            <v>不適用</v>
          </cell>
          <cell r="CN112" t="str">
            <v>不適用</v>
          </cell>
          <cell r="CO112" t="str">
            <v>不適用</v>
          </cell>
          <cell r="CP112" t="str">
            <v>不適用</v>
          </cell>
          <cell r="CQ112" t="str">
            <v>不適用</v>
          </cell>
          <cell r="CR112" t="str">
            <v>四方四邊承托架</v>
          </cell>
          <cell r="CS112" t="str">
            <v>請按此處</v>
          </cell>
          <cell r="CT112" t="str">
            <v>請按此處</v>
          </cell>
          <cell r="CU112" t="str">
            <v>不適用</v>
          </cell>
          <cell r="CV112">
            <v>14.6</v>
          </cell>
          <cell r="CW112">
            <v>32.120000000000005</v>
          </cell>
          <cell r="CX112"/>
          <cell r="DF112" t="str">
            <v>貨源正常</v>
          </cell>
          <cell r="DG112" t="str">
            <v>https://goo.gl/8uaNPi</v>
          </cell>
        </row>
        <row r="113">
          <cell r="A113" t="str">
            <v>shzb62s</v>
          </cell>
          <cell r="B113" t="str">
            <v>停售</v>
          </cell>
          <cell r="E113" t="str">
            <v>Simpa</v>
          </cell>
          <cell r="F113" t="str">
            <v>SHZB62S</v>
          </cell>
          <cell r="I113" t="str">
            <v>說明書</v>
          </cell>
          <cell r="K113" t="str">
            <v>2013年7月5日</v>
          </cell>
          <cell r="L113" t="str">
            <v>2020年8月12日</v>
          </cell>
          <cell r="M113" t="str">
            <v>中國</v>
          </cell>
          <cell r="N113" t="str">
            <v>已停售</v>
          </cell>
          <cell r="O113" t="str">
            <v>請按此處</v>
          </cell>
          <cell r="P113">
            <v>59</v>
          </cell>
          <cell r="Q113">
            <v>2.3228346456692917</v>
          </cell>
          <cell r="R113">
            <v>70</v>
          </cell>
          <cell r="S113">
            <v>2.7559055118110236</v>
          </cell>
          <cell r="T113">
            <v>131</v>
          </cell>
          <cell r="U113">
            <v>5.1574803149606305</v>
          </cell>
          <cell r="V113">
            <v>730</v>
          </cell>
          <cell r="W113">
            <v>28.740157480314963</v>
          </cell>
          <cell r="X113">
            <v>420</v>
          </cell>
          <cell r="Y113">
            <v>16.535433070866144</v>
          </cell>
          <cell r="Z113">
            <v>420</v>
          </cell>
          <cell r="AA113">
            <v>16.535433070866144</v>
          </cell>
          <cell r="AC113" t="str">
            <v>670 x 350 (26.4" x 13.8")</v>
          </cell>
          <cell r="AD113">
            <v>2</v>
          </cell>
          <cell r="AE113" t="str">
            <v>左</v>
          </cell>
          <cell r="AF113" t="str">
            <v>右</v>
          </cell>
          <cell r="AJ113">
            <v>18</v>
          </cell>
          <cell r="AK113">
            <v>18</v>
          </cell>
          <cell r="AL113">
            <v>0</v>
          </cell>
          <cell r="AM113">
            <v>0</v>
          </cell>
          <cell r="AN113">
            <v>0</v>
          </cell>
          <cell r="AO113">
            <v>1.8</v>
          </cell>
          <cell r="AP113">
            <v>1.8</v>
          </cell>
          <cell r="AQ113">
            <v>0</v>
          </cell>
          <cell r="AR113">
            <v>0</v>
          </cell>
          <cell r="AS113">
            <v>0</v>
          </cell>
          <cell r="AT113">
            <v>5</v>
          </cell>
          <cell r="AU113">
            <v>5</v>
          </cell>
          <cell r="AY113">
            <v>0.5</v>
          </cell>
          <cell r="AZ113">
            <v>0.5</v>
          </cell>
          <cell r="BD113">
            <v>17079.787233999999</v>
          </cell>
          <cell r="BE113">
            <v>17079.787233999999</v>
          </cell>
          <cell r="BF113">
            <v>0</v>
          </cell>
          <cell r="BG113">
            <v>0</v>
          </cell>
          <cell r="BH113">
            <v>0</v>
          </cell>
          <cell r="BI113">
            <v>1707.9787234</v>
          </cell>
          <cell r="BJ113">
            <v>1707.9787234</v>
          </cell>
          <cell r="BK113">
            <v>0</v>
          </cell>
          <cell r="BL113">
            <v>0</v>
          </cell>
          <cell r="BM113">
            <v>0</v>
          </cell>
          <cell r="BN113">
            <v>4.6980000000000004</v>
          </cell>
          <cell r="BO113">
            <v>4.6980000000000004</v>
          </cell>
          <cell r="BP113">
            <v>0</v>
          </cell>
          <cell r="BQ113">
            <v>0</v>
          </cell>
          <cell r="BR113">
            <v>0</v>
          </cell>
          <cell r="BS113">
            <v>0.46980000000000005</v>
          </cell>
          <cell r="BT113">
            <v>0.46980000000000005</v>
          </cell>
          <cell r="BU113">
            <v>0</v>
          </cell>
          <cell r="BV113">
            <v>0</v>
          </cell>
          <cell r="BW113">
            <v>0</v>
          </cell>
          <cell r="BX113" t="str">
            <v>可以</v>
          </cell>
          <cell r="BY113" t="str">
            <v>可以</v>
          </cell>
          <cell r="CC113" t="str">
            <v>(1) 不鏽鋼拉絲面板，配襯黑色爐頭和 S 形旋鈕，外形高貴典雅。
(2) 5千瓦雙環爐頭，獨立芯火，火力強勁，控制靈活，煮食得心應手。
(3) 銅合金密封式爐頭，表面加上耐高溫塗層，堅固耐用，清理容易。
(4) 快易點火系統，爐火點著後便可即時放開旋鈕，點火快捷方便。
(5) 內置穩壓器。</v>
          </cell>
          <cell r="CD113" t="str">
            <v>不適用</v>
          </cell>
          <cell r="CE113" t="str">
            <v>一枚D型1.5V</v>
          </cell>
          <cell r="CF113" t="str">
            <v>爐底右前方</v>
          </cell>
          <cell r="CG113" t="str">
            <v>不鏽鋼</v>
          </cell>
          <cell r="CH113" t="str">
            <v>旋鈕式</v>
          </cell>
          <cell r="CI113" t="str">
            <v>旋鈕式</v>
          </cell>
          <cell r="CJ113" t="str">
            <v>雙環</v>
          </cell>
          <cell r="CK113" t="str">
            <v>雙環</v>
          </cell>
          <cell r="CL113" t="str">
            <v>不適用</v>
          </cell>
          <cell r="CM113" t="str">
            <v>不適用</v>
          </cell>
          <cell r="CN113" t="str">
            <v>不適用</v>
          </cell>
          <cell r="CO113" t="str">
            <v>不適用</v>
          </cell>
          <cell r="CP113" t="str">
            <v>不適用</v>
          </cell>
          <cell r="CQ113" t="str">
            <v>不適用</v>
          </cell>
          <cell r="CR113" t="str">
            <v>圓形五邊承托架</v>
          </cell>
          <cell r="CS113" t="str">
            <v>請按此處</v>
          </cell>
          <cell r="CT113" t="str">
            <v>請按此處</v>
          </cell>
          <cell r="CU113" t="str">
            <v>請按此處</v>
          </cell>
          <cell r="CW113">
            <v>0</v>
          </cell>
          <cell r="CX113" t="str">
            <v>(1) 爐具底盤物料：鐡 (informed by Ivan Cheung )</v>
          </cell>
          <cell r="DF113"/>
          <cell r="DG113"/>
        </row>
        <row r="114">
          <cell r="A114" t="str">
            <v>srtb83sg</v>
          </cell>
          <cell r="B114" t="str">
            <v>停售</v>
          </cell>
          <cell r="E114" t="str">
            <v>Simpa</v>
          </cell>
          <cell r="F114" t="str">
            <v>SRTB83S-G</v>
          </cell>
          <cell r="I114" t="str">
            <v>說明書</v>
          </cell>
          <cell r="K114" t="str">
            <v>2013年10月2日</v>
          </cell>
          <cell r="L114" t="str">
            <v>2017年8月21日</v>
          </cell>
          <cell r="M114" t="str">
            <v>台灣</v>
          </cell>
          <cell r="N114" t="str">
            <v>已停售</v>
          </cell>
          <cell r="O114" t="str">
            <v>請按此處</v>
          </cell>
          <cell r="P114">
            <v>55</v>
          </cell>
          <cell r="Q114">
            <v>2.1653543307086616</v>
          </cell>
          <cell r="R114">
            <v>67</v>
          </cell>
          <cell r="S114">
            <v>2.6377952755905514</v>
          </cell>
          <cell r="T114">
            <v>128</v>
          </cell>
          <cell r="U114">
            <v>5.0393700787401574</v>
          </cell>
          <cell r="V114">
            <v>880</v>
          </cell>
          <cell r="W114">
            <v>34.645669291338585</v>
          </cell>
          <cell r="X114">
            <v>520</v>
          </cell>
          <cell r="Y114">
            <v>20.472440944881892</v>
          </cell>
          <cell r="Z114">
            <v>546</v>
          </cell>
          <cell r="AA114">
            <v>21.496062992125985</v>
          </cell>
          <cell r="AC114" t="str">
            <v>815 x 405 (32.1" x 15.9")</v>
          </cell>
          <cell r="AD114">
            <v>3</v>
          </cell>
          <cell r="AE114" t="str">
            <v>左</v>
          </cell>
          <cell r="AF114" t="str">
            <v>中</v>
          </cell>
          <cell r="AG114" t="str">
            <v>右</v>
          </cell>
          <cell r="AJ114">
            <v>18</v>
          </cell>
          <cell r="AK114">
            <v>10.08</v>
          </cell>
          <cell r="AL114">
            <v>18</v>
          </cell>
          <cell r="AM114">
            <v>0</v>
          </cell>
          <cell r="AN114">
            <v>0</v>
          </cell>
          <cell r="AO114">
            <v>1.08</v>
          </cell>
          <cell r="AP114">
            <v>2.16</v>
          </cell>
          <cell r="AQ114">
            <v>1.08</v>
          </cell>
          <cell r="AR114">
            <v>0</v>
          </cell>
          <cell r="AS114">
            <v>0</v>
          </cell>
          <cell r="AT114">
            <v>5</v>
          </cell>
          <cell r="AU114">
            <v>2.8</v>
          </cell>
          <cell r="AV114">
            <v>5</v>
          </cell>
          <cell r="AY114">
            <v>0.3</v>
          </cell>
          <cell r="AZ114">
            <v>0.6</v>
          </cell>
          <cell r="BA114">
            <v>0.3</v>
          </cell>
          <cell r="BD114">
            <v>17079.787233999999</v>
          </cell>
          <cell r="BE114">
            <v>9564.6808510399987</v>
          </cell>
          <cell r="BF114">
            <v>17079.787233999999</v>
          </cell>
          <cell r="BG114">
            <v>0</v>
          </cell>
          <cell r="BH114">
            <v>0</v>
          </cell>
          <cell r="BI114">
            <v>1024.7872340399999</v>
          </cell>
          <cell r="BJ114">
            <v>2049.5744680799999</v>
          </cell>
          <cell r="BK114">
            <v>1024.7872340399999</v>
          </cell>
          <cell r="BL114">
            <v>0</v>
          </cell>
          <cell r="BM114">
            <v>0</v>
          </cell>
          <cell r="BN114">
            <v>4.6980000000000004</v>
          </cell>
          <cell r="BO114">
            <v>2.6308800000000003</v>
          </cell>
          <cell r="BP114">
            <v>4.6980000000000004</v>
          </cell>
          <cell r="BQ114">
            <v>0</v>
          </cell>
          <cell r="BR114">
            <v>0</v>
          </cell>
          <cell r="BS114">
            <v>0.28188000000000002</v>
          </cell>
          <cell r="BT114">
            <v>0.56376000000000004</v>
          </cell>
          <cell r="BU114">
            <v>0.28188000000000002</v>
          </cell>
          <cell r="BV114">
            <v>0</v>
          </cell>
          <cell r="BW114">
            <v>0</v>
          </cell>
          <cell r="BX114" t="str">
            <v>可以</v>
          </cell>
          <cell r="BY114" t="str">
            <v>不可以</v>
          </cell>
          <cell r="BZ114" t="str">
            <v>可以</v>
          </cell>
          <cell r="CC114" t="str">
            <v>(1)黑色玻璃板配襯銀色爐頭，外形高雅。
(2)密封式爐頭設計，槽式火孔，強化玻璃面板，清理方便。
(3)S形控制旋鈕，電子火花點火，操作簡易。</v>
          </cell>
          <cell r="CD114" t="str">
            <v>不適用</v>
          </cell>
          <cell r="CE114" t="str">
            <v>一枚C型1.5V</v>
          </cell>
          <cell r="CF114" t="str">
            <v>爐底中央近左前方</v>
          </cell>
          <cell r="CG114" t="str">
            <v>黑色強化玻璃</v>
          </cell>
          <cell r="CH114" t="str">
            <v>旋鈕式</v>
          </cell>
          <cell r="CI114" t="str">
            <v>旋鈕式</v>
          </cell>
          <cell r="CJ114" t="str">
            <v>雙環</v>
          </cell>
          <cell r="CK114" t="str">
            <v>雙環</v>
          </cell>
          <cell r="CL114" t="str">
            <v>單環</v>
          </cell>
          <cell r="CM114" t="str">
            <v>不適用</v>
          </cell>
          <cell r="CN114" t="str">
            <v>不適用</v>
          </cell>
          <cell r="CO114" t="str">
            <v>不適用</v>
          </cell>
          <cell r="CP114" t="str">
            <v>不適用</v>
          </cell>
          <cell r="CQ114" t="str">
            <v>不適用</v>
          </cell>
          <cell r="CR114" t="str">
            <v>圓形五邊承托</v>
          </cell>
          <cell r="CS114" t="str">
            <v>請按此處</v>
          </cell>
          <cell r="CT114" t="str">
            <v>請按此處</v>
          </cell>
          <cell r="CU114" t="str">
            <v>請按此處</v>
          </cell>
          <cell r="CW114">
            <v>0</v>
          </cell>
          <cell r="CX114" t="str">
            <v>標準檯面開孔尺寸是815x405毫米，當安裝於原有835x475開孔時，需要加上適配架 (樣本請按此處)。若是圓角開孔，需要在前方兩個圓角切割成35x35毫米方角。
客人使用原有灶台，更換爐具時，請以Replacement的Product Code落工程單。</v>
          </cell>
        </row>
        <row r="115">
          <cell r="A115" t="str">
            <v>smyb54</v>
          </cell>
          <cell r="B115" t="str">
            <v>停售</v>
          </cell>
          <cell r="E115" t="str">
            <v xml:space="preserve">Simpa </v>
          </cell>
          <cell r="F115" t="str">
            <v>SMYB54</v>
          </cell>
          <cell r="I115" t="str">
            <v>說明書</v>
          </cell>
          <cell r="K115" t="str">
            <v>2013年11月22日</v>
          </cell>
          <cell r="L115" t="str">
            <v>2017年2月24日</v>
          </cell>
          <cell r="M115" t="str">
            <v>意大利</v>
          </cell>
          <cell r="N115" t="str">
            <v>已停售</v>
          </cell>
          <cell r="O115" t="str">
            <v>請按此處</v>
          </cell>
          <cell r="P115">
            <v>40</v>
          </cell>
          <cell r="Q115">
            <v>1.5748031496062993</v>
          </cell>
          <cell r="R115">
            <v>47</v>
          </cell>
          <cell r="S115">
            <v>1.8503937007874016</v>
          </cell>
          <cell r="T115">
            <v>95</v>
          </cell>
          <cell r="U115">
            <v>3.7401574803149606</v>
          </cell>
          <cell r="V115">
            <v>598</v>
          </cell>
          <cell r="W115">
            <v>23.543307086614174</v>
          </cell>
          <cell r="X115">
            <v>508</v>
          </cell>
          <cell r="Y115">
            <v>20</v>
          </cell>
          <cell r="AA115">
            <v>0</v>
          </cell>
          <cell r="AC115" t="str">
            <v>560 x 480 (22.1" x 18.9")</v>
          </cell>
          <cell r="AD115">
            <v>4</v>
          </cell>
          <cell r="AE115" t="str">
            <v>左前</v>
          </cell>
          <cell r="AF115" t="str">
            <v>右前</v>
          </cell>
          <cell r="AG115" t="str">
            <v>左後</v>
          </cell>
          <cell r="AH115" t="str">
            <v>右後</v>
          </cell>
          <cell r="AJ115">
            <v>14.4</v>
          </cell>
          <cell r="AK115">
            <v>4.32</v>
          </cell>
          <cell r="AL115">
            <v>7.5600000000000005</v>
          </cell>
          <cell r="AM115">
            <v>7.5600000000000005</v>
          </cell>
          <cell r="AN115">
            <v>0</v>
          </cell>
          <cell r="AO115">
            <v>2.8800000000000003</v>
          </cell>
          <cell r="AP115">
            <v>1.08</v>
          </cell>
          <cell r="AQ115">
            <v>1.8</v>
          </cell>
          <cell r="AR115">
            <v>1.8</v>
          </cell>
          <cell r="AS115">
            <v>0</v>
          </cell>
          <cell r="AT115">
            <v>4</v>
          </cell>
          <cell r="AU115">
            <v>1.2</v>
          </cell>
          <cell r="AV115">
            <v>2.1</v>
          </cell>
          <cell r="AW115">
            <v>2.1</v>
          </cell>
          <cell r="AY115">
            <v>0.8</v>
          </cell>
          <cell r="AZ115">
            <v>0.3</v>
          </cell>
          <cell r="BA115">
            <v>0.5</v>
          </cell>
          <cell r="BB115">
            <v>0.5</v>
          </cell>
          <cell r="BD115">
            <v>13663.8297872</v>
          </cell>
          <cell r="BE115">
            <v>4099.1489361599997</v>
          </cell>
          <cell r="BF115">
            <v>7173.5106382800004</v>
          </cell>
          <cell r="BG115">
            <v>7173.5106382800004</v>
          </cell>
          <cell r="BH115">
            <v>0</v>
          </cell>
          <cell r="BI115">
            <v>2732.7659574400004</v>
          </cell>
          <cell r="BJ115">
            <v>1024.7872340399999</v>
          </cell>
          <cell r="BK115">
            <v>1707.9787234</v>
          </cell>
          <cell r="BL115">
            <v>1707.9787234</v>
          </cell>
          <cell r="BM115">
            <v>0</v>
          </cell>
          <cell r="BN115">
            <v>3.7584000000000004</v>
          </cell>
          <cell r="BO115">
            <v>1.1275200000000001</v>
          </cell>
          <cell r="BP115">
            <v>1.9731600000000002</v>
          </cell>
          <cell r="BQ115">
            <v>1.9731600000000002</v>
          </cell>
          <cell r="BR115">
            <v>0</v>
          </cell>
          <cell r="BS115">
            <v>0.75168000000000013</v>
          </cell>
          <cell r="BT115">
            <v>0.28188000000000002</v>
          </cell>
          <cell r="BU115">
            <v>0.46980000000000005</v>
          </cell>
          <cell r="BV115">
            <v>0.46980000000000005</v>
          </cell>
          <cell r="BW115">
            <v>0</v>
          </cell>
          <cell r="BX115" t="str">
            <v>資料不詳</v>
          </cell>
          <cell r="BY115" t="str">
            <v>不可以</v>
          </cell>
          <cell r="BZ115" t="str">
            <v>不可以</v>
          </cell>
          <cell r="CA115" t="str">
            <v>不可以</v>
          </cell>
          <cell r="CC115" t="str">
            <v>(1)優質304號不銹鋼面板，流線型設計，美觀耐用。
(2)4千瓦三環主爐頭，加熱平均，配合炒鑊架，適宜中式烹調。
(3)密封式壚頭，溢出物不會流入爐內，清理方便。</v>
          </cell>
          <cell r="CD115" t="str">
            <v>220V</v>
          </cell>
          <cell r="CE115" t="str">
            <v>不適用</v>
          </cell>
          <cell r="CF115" t="str">
            <v>不適用</v>
          </cell>
          <cell r="CG115" t="str">
            <v>304號不銹鋼</v>
          </cell>
          <cell r="CH115" t="str">
            <v>旋鈕式</v>
          </cell>
          <cell r="CI115" t="str">
            <v>旋鈕式</v>
          </cell>
          <cell r="CJ115" t="str">
            <v>三環</v>
          </cell>
          <cell r="CK115" t="str">
            <v>單環</v>
          </cell>
          <cell r="CL115" t="str">
            <v>單環</v>
          </cell>
          <cell r="CM115" t="str">
            <v>單環</v>
          </cell>
          <cell r="CN115" t="str">
            <v>單環</v>
          </cell>
          <cell r="CO115" t="str">
            <v>不適用</v>
          </cell>
          <cell r="CP115" t="str">
            <v>不適用</v>
          </cell>
          <cell r="CQ115" t="str">
            <v>不適用</v>
          </cell>
          <cell r="CR115" t="str">
            <v>長形連架 x 2</v>
          </cell>
          <cell r="CS115" t="str">
            <v>請按此處</v>
          </cell>
          <cell r="CT115" t="str">
            <v>請按此處</v>
          </cell>
          <cell r="CU115" t="str">
            <v>不適用</v>
          </cell>
          <cell r="CV115">
            <v>9</v>
          </cell>
          <cell r="CW115">
            <v>19.8</v>
          </cell>
          <cell r="CX115"/>
        </row>
        <row r="116">
          <cell r="A116" t="str">
            <v>mega2</v>
          </cell>
          <cell r="B116" t="str">
            <v>停售</v>
          </cell>
          <cell r="E116" t="str">
            <v>TGC</v>
          </cell>
          <cell r="G116" t="str">
            <v>MEGA2</v>
          </cell>
          <cell r="I116" t="str">
            <v>說明書</v>
          </cell>
          <cell r="J116" t="str">
            <v>時間掣使用方法</v>
          </cell>
          <cell r="K116" t="str">
            <v>2015年12月29日</v>
          </cell>
          <cell r="L116" t="str">
            <v>2018年9月24日</v>
          </cell>
          <cell r="M116" t="str">
            <v>日本</v>
          </cell>
          <cell r="N116" t="str">
            <v>已停售</v>
          </cell>
          <cell r="O116" t="str">
            <v>請按此處</v>
          </cell>
          <cell r="P116">
            <v>54</v>
          </cell>
          <cell r="Q116">
            <v>2.1259842519685042</v>
          </cell>
          <cell r="R116">
            <v>66</v>
          </cell>
          <cell r="S116">
            <v>2.598425196850394</v>
          </cell>
          <cell r="T116">
            <v>125</v>
          </cell>
          <cell r="U116">
            <v>4.9212598425196852</v>
          </cell>
          <cell r="V116">
            <v>737</v>
          </cell>
          <cell r="W116">
            <v>29.015748031496063</v>
          </cell>
          <cell r="X116">
            <v>438</v>
          </cell>
          <cell r="Y116">
            <v>17.244094488188978</v>
          </cell>
          <cell r="Z116">
            <v>460</v>
          </cell>
          <cell r="AA116">
            <v>18.110236220472441</v>
          </cell>
          <cell r="AC116" t="str">
            <v>703 x 403 (27.7" x 15.9")</v>
          </cell>
          <cell r="AD116">
            <v>2</v>
          </cell>
          <cell r="AE116" t="str">
            <v>左</v>
          </cell>
          <cell r="AF116" t="str">
            <v>右</v>
          </cell>
          <cell r="AJ116">
            <v>21.6</v>
          </cell>
          <cell r="AK116">
            <v>21.6</v>
          </cell>
          <cell r="AL116">
            <v>0</v>
          </cell>
          <cell r="AM116">
            <v>0</v>
          </cell>
          <cell r="AN116">
            <v>0</v>
          </cell>
          <cell r="AO116">
            <v>1.08</v>
          </cell>
          <cell r="AP116">
            <v>1.08</v>
          </cell>
          <cell r="AQ116">
            <v>0</v>
          </cell>
          <cell r="AR116">
            <v>0</v>
          </cell>
          <cell r="AS116">
            <v>0</v>
          </cell>
          <cell r="AT116">
            <v>6</v>
          </cell>
          <cell r="AU116">
            <v>6</v>
          </cell>
          <cell r="AY116">
            <v>0.3</v>
          </cell>
          <cell r="AZ116">
            <v>0.3</v>
          </cell>
          <cell r="BD116">
            <v>20495.744680800002</v>
          </cell>
          <cell r="BE116">
            <v>20495.744680800002</v>
          </cell>
          <cell r="BF116">
            <v>0</v>
          </cell>
          <cell r="BG116">
            <v>0</v>
          </cell>
          <cell r="BH116">
            <v>0</v>
          </cell>
          <cell r="BI116">
            <v>1024.7872340399999</v>
          </cell>
          <cell r="BJ116">
            <v>1024.7872340399999</v>
          </cell>
          <cell r="BK116">
            <v>0</v>
          </cell>
          <cell r="BL116">
            <v>0</v>
          </cell>
          <cell r="BM116">
            <v>0</v>
          </cell>
          <cell r="BN116">
            <v>5.6376000000000008</v>
          </cell>
          <cell r="BO116">
            <v>5.6376000000000008</v>
          </cell>
          <cell r="BP116">
            <v>0</v>
          </cell>
          <cell r="BQ116">
            <v>0</v>
          </cell>
          <cell r="BR116">
            <v>0</v>
          </cell>
          <cell r="BS116">
            <v>0.28188000000000002</v>
          </cell>
          <cell r="BT116">
            <v>0.28188000000000002</v>
          </cell>
          <cell r="BU116">
            <v>0</v>
          </cell>
          <cell r="BV116">
            <v>0</v>
          </cell>
          <cell r="BW116">
            <v>0</v>
          </cell>
          <cell r="BX116" t="str">
            <v>可以</v>
          </cell>
          <cell r="BY116" t="str">
            <v>可以</v>
          </cell>
          <cell r="CC116" t="str">
            <v>(1)4小時可調自動熄火時間掣，煮食更方便。(設於左方爐頭)
(2)全密封爐頭，清理容易。
(3)6千瓦強勁雙環爐頭，獨立芯火，滿足底煮食需要。
(4)電子連續點火系統，旋鈕式火力控制，操作簡單靈活。
(5)銅合金製爐頭蓋，表面加上耐高溫塗層，槽式火孔，堅固耐用，清理容易。
(6)熄火安全裝置，3小時自動熄火安全裝置和新增防高溫爐具保護裝置，確保安全。</v>
          </cell>
          <cell r="CD116" t="str">
            <v>不適用</v>
          </cell>
          <cell r="CE116" t="str">
            <v>兩枚D型1.5V</v>
          </cell>
          <cell r="CF116" t="str">
            <v>爐底中央</v>
          </cell>
          <cell r="CG116" t="str">
            <v>陶瓷玻璃配銀色框架
陶瓷玻璃配黑色框架</v>
          </cell>
          <cell r="CH116" t="str">
            <v>旋鈕式</v>
          </cell>
          <cell r="CI116" t="str">
            <v>旋鈕式</v>
          </cell>
          <cell r="CJ116" t="str">
            <v>雙環x2</v>
          </cell>
          <cell r="CK116" t="str">
            <v>不適用</v>
          </cell>
          <cell r="CL116" t="str">
            <v>不適用</v>
          </cell>
          <cell r="CM116" t="str">
            <v>不適用</v>
          </cell>
          <cell r="CN116" t="str">
            <v>不適用</v>
          </cell>
          <cell r="CO116" t="str">
            <v>不適用</v>
          </cell>
          <cell r="CP116" t="str">
            <v>不適用</v>
          </cell>
          <cell r="CQ116" t="str">
            <v>不適用</v>
          </cell>
          <cell r="CR116" t="str">
            <v>圓形五邊承托架 x 2</v>
          </cell>
          <cell r="CS116" t="str">
            <v>請按此處</v>
          </cell>
          <cell r="CT116" t="str">
            <v>請按此處</v>
          </cell>
          <cell r="CU116" t="str">
            <v>請按此處</v>
          </cell>
          <cell r="CV116">
            <v>14.5</v>
          </cell>
          <cell r="CW116">
            <v>31.900000000000002</v>
          </cell>
          <cell r="CX116" t="str">
            <v>玻璃生產商：Schott
玻璃原產地：德國
進氣保護罩物料：鋁
Standard Drawing備註中的第5點提及如下:
爐底至少預留150毫米空間以便更換電池，如下方設有其他器具，應採用外置電池盒。(按此)</v>
          </cell>
          <cell r="CY116" t="str">
            <v>故障訊號</v>
          </cell>
          <cell r="DF116" t="e">
            <v>#N/A</v>
          </cell>
          <cell r="DG116"/>
        </row>
        <row r="117">
          <cell r="A117" t="str">
            <v>mega3</v>
          </cell>
          <cell r="B117" t="str">
            <v>停售</v>
          </cell>
          <cell r="E117" t="str">
            <v>TGC</v>
          </cell>
          <cell r="G117" t="str">
            <v>MEGA3</v>
          </cell>
          <cell r="I117" t="str">
            <v>說明書</v>
          </cell>
          <cell r="J117" t="str">
            <v>時間掣使用方法</v>
          </cell>
          <cell r="K117" t="str">
            <v>2015年12月29日</v>
          </cell>
          <cell r="L117" t="str">
            <v>2018年9月24日</v>
          </cell>
          <cell r="M117" t="str">
            <v>日本</v>
          </cell>
          <cell r="N117" t="str">
            <v>已停售</v>
          </cell>
          <cell r="O117" t="str">
            <v>請按此處</v>
          </cell>
          <cell r="P117">
            <v>54</v>
          </cell>
          <cell r="Q117">
            <v>2.1259842519685042</v>
          </cell>
          <cell r="R117">
            <v>66</v>
          </cell>
          <cell r="S117">
            <v>2.598425196850394</v>
          </cell>
          <cell r="T117">
            <v>125</v>
          </cell>
          <cell r="U117">
            <v>4.9212598425196852</v>
          </cell>
          <cell r="V117">
            <v>852</v>
          </cell>
          <cell r="W117">
            <v>33.543307086614178</v>
          </cell>
          <cell r="X117">
            <v>438</v>
          </cell>
          <cell r="Y117">
            <v>17.244094488188978</v>
          </cell>
          <cell r="AA117">
            <v>0</v>
          </cell>
          <cell r="AC117" t="str">
            <v>815 x 405 (32.1" x 15.9")</v>
          </cell>
          <cell r="AD117">
            <v>3</v>
          </cell>
          <cell r="AE117" t="str">
            <v>左</v>
          </cell>
          <cell r="AF117" t="str">
            <v>中</v>
          </cell>
          <cell r="AG117" t="str">
            <v>右</v>
          </cell>
          <cell r="AJ117">
            <v>21.6</v>
          </cell>
          <cell r="AK117">
            <v>10.08</v>
          </cell>
          <cell r="AL117">
            <v>21.6</v>
          </cell>
          <cell r="AM117">
            <v>0</v>
          </cell>
          <cell r="AN117">
            <v>0</v>
          </cell>
          <cell r="AO117">
            <v>1.08</v>
          </cell>
          <cell r="AP117">
            <v>2.16</v>
          </cell>
          <cell r="AQ117">
            <v>1.08</v>
          </cell>
          <cell r="AR117">
            <v>0</v>
          </cell>
          <cell r="AS117">
            <v>0</v>
          </cell>
          <cell r="AT117">
            <v>6</v>
          </cell>
          <cell r="AU117">
            <v>2.8</v>
          </cell>
          <cell r="AV117">
            <v>6</v>
          </cell>
          <cell r="AY117">
            <v>0.3</v>
          </cell>
          <cell r="AZ117">
            <v>0.6</v>
          </cell>
          <cell r="BA117">
            <v>0.3</v>
          </cell>
          <cell r="BD117">
            <v>20495.744680800002</v>
          </cell>
          <cell r="BE117">
            <v>9564.6808510399987</v>
          </cell>
          <cell r="BF117">
            <v>20495.744680800002</v>
          </cell>
          <cell r="BG117">
            <v>0</v>
          </cell>
          <cell r="BH117">
            <v>0</v>
          </cell>
          <cell r="BI117">
            <v>1024.7872340399999</v>
          </cell>
          <cell r="BJ117">
            <v>2049.5744680799999</v>
          </cell>
          <cell r="BK117">
            <v>1024.7872340399999</v>
          </cell>
          <cell r="BL117">
            <v>0</v>
          </cell>
          <cell r="BM117">
            <v>0</v>
          </cell>
          <cell r="BN117">
            <v>5.6376000000000008</v>
          </cell>
          <cell r="BO117">
            <v>2.6308800000000003</v>
          </cell>
          <cell r="BP117">
            <v>5.6376000000000008</v>
          </cell>
          <cell r="BQ117">
            <v>0</v>
          </cell>
          <cell r="BR117">
            <v>0</v>
          </cell>
          <cell r="BS117">
            <v>0.28188000000000002</v>
          </cell>
          <cell r="BT117">
            <v>0.56376000000000004</v>
          </cell>
          <cell r="BU117">
            <v>0.28188000000000002</v>
          </cell>
          <cell r="BV117">
            <v>0</v>
          </cell>
          <cell r="BW117">
            <v>0</v>
          </cell>
          <cell r="BX117" t="str">
            <v>可以</v>
          </cell>
          <cell r="BY117" t="str">
            <v>不可以</v>
          </cell>
          <cell r="BZ117" t="str">
            <v>可以</v>
          </cell>
          <cell r="CC117" t="str">
            <v>(1)4小時可調自動熄火時間掣，煮食更方便。
(2)全密封爐頭，清理容易。
(3)6千瓦強勁雙環爐頭，獨立芯火，滿足底煮食需要。
(4)電子連續點火系統，旋鈕式火力控制，操作簡單靈活。
(5)銅合金製爐頭蓋，表面加上耐高溫塗層，槽式火孔，堅固耐用，清理容易。
(6)熄火安全裝置，3小時自動熄火安全裝置和新增防高溫爐具保護裝置，確保安全。</v>
          </cell>
          <cell r="CD117" t="str">
            <v>不適用</v>
          </cell>
          <cell r="CE117" t="str">
            <v>兩枚D型1.5V</v>
          </cell>
          <cell r="CF117" t="str">
            <v>爐底前方右角</v>
          </cell>
          <cell r="CG117" t="str">
            <v>陶瓷玻璃配銀色框架
陶瓷玻璃配黑色框架</v>
          </cell>
          <cell r="CH117" t="str">
            <v>旋鈕式</v>
          </cell>
          <cell r="CI117" t="str">
            <v>旋鈕式</v>
          </cell>
          <cell r="CJ117" t="str">
            <v>雙環x2</v>
          </cell>
          <cell r="CK117" t="str">
            <v>單環</v>
          </cell>
          <cell r="CL117" t="str">
            <v>不適用</v>
          </cell>
          <cell r="CM117" t="str">
            <v>不適用</v>
          </cell>
          <cell r="CN117" t="str">
            <v>不適用</v>
          </cell>
          <cell r="CO117" t="str">
            <v>不適用</v>
          </cell>
          <cell r="CP117" t="str">
            <v>不適用</v>
          </cell>
          <cell r="CQ117" t="str">
            <v>不適用</v>
          </cell>
          <cell r="CR117" t="str">
            <v>圓形五邊承托架 x 2</v>
          </cell>
          <cell r="CS117" t="str">
            <v>請按此處</v>
          </cell>
          <cell r="CT117" t="str">
            <v>請按此處</v>
          </cell>
          <cell r="CU117" t="str">
            <v>請按此處</v>
          </cell>
          <cell r="CV117">
            <v>15.5</v>
          </cell>
          <cell r="CW117">
            <v>34.1</v>
          </cell>
          <cell r="CX117" t="str">
            <v>玻璃生產商：Schott
玻璃原產地：德國
進氣保護罩物料：鋁</v>
          </cell>
          <cell r="CY117" t="str">
            <v>故障訊號</v>
          </cell>
          <cell r="DF117" t="e">
            <v>#N/A</v>
          </cell>
          <cell r="DG117"/>
        </row>
        <row r="118">
          <cell r="A118" t="str">
            <v>my54a</v>
          </cell>
          <cell r="B118" t="str">
            <v>停售</v>
          </cell>
          <cell r="E118" t="str">
            <v>Simpa</v>
          </cell>
          <cell r="F118" t="str">
            <v>MY54A</v>
          </cell>
          <cell r="G118" t="str">
            <v>RB54A</v>
          </cell>
          <cell r="I118" t="str">
            <v>說明書</v>
          </cell>
          <cell r="L118" t="str">
            <v>2024年4月23日</v>
          </cell>
          <cell r="M118" t="str">
            <v>意大利</v>
          </cell>
          <cell r="N118" t="str">
            <v>已停售</v>
          </cell>
          <cell r="O118" t="str">
            <v>請按此處</v>
          </cell>
          <cell r="P118">
            <v>40</v>
          </cell>
          <cell r="Q118">
            <v>1.5748031496062993</v>
          </cell>
          <cell r="R118">
            <v>47</v>
          </cell>
          <cell r="S118">
            <v>1.8503937007874016</v>
          </cell>
          <cell r="T118">
            <v>95</v>
          </cell>
          <cell r="U118">
            <v>3.7401574803149606</v>
          </cell>
          <cell r="V118">
            <v>598</v>
          </cell>
          <cell r="W118">
            <v>23.543307086614174</v>
          </cell>
          <cell r="X118">
            <v>508</v>
          </cell>
          <cell r="Y118">
            <v>20</v>
          </cell>
          <cell r="AA118">
            <v>0</v>
          </cell>
          <cell r="AC118" t="str">
            <v>560 x 480 (22.1" x 18.9")</v>
          </cell>
          <cell r="AD118">
            <v>4</v>
          </cell>
          <cell r="AE118" t="str">
            <v>左上 (中爐)</v>
          </cell>
          <cell r="AF118" t="str">
            <v xml:space="preserve">左下 (大爐) </v>
          </cell>
          <cell r="AG118" t="str">
            <v>右上 (中爐)</v>
          </cell>
          <cell r="AH118" t="str">
            <v>右下 (細爐)</v>
          </cell>
          <cell r="AJ118">
            <v>7.9200000000000008</v>
          </cell>
          <cell r="AK118">
            <v>14.4</v>
          </cell>
          <cell r="AL118">
            <v>7.9200000000000008</v>
          </cell>
          <cell r="AM118">
            <v>4.32</v>
          </cell>
          <cell r="AN118">
            <v>0</v>
          </cell>
          <cell r="AO118">
            <v>2.16</v>
          </cell>
          <cell r="AP118">
            <v>3.24</v>
          </cell>
          <cell r="AQ118">
            <v>2.16</v>
          </cell>
          <cell r="AR118">
            <v>1.08</v>
          </cell>
          <cell r="AS118">
            <v>0</v>
          </cell>
          <cell r="AT118">
            <v>2.2000000000000002</v>
          </cell>
          <cell r="AU118">
            <v>4</v>
          </cell>
          <cell r="AV118">
            <v>2.2000000000000002</v>
          </cell>
          <cell r="AW118">
            <v>1.2</v>
          </cell>
          <cell r="AY118">
            <v>0.6</v>
          </cell>
          <cell r="AZ118">
            <v>0.9</v>
          </cell>
          <cell r="BA118">
            <v>0.6</v>
          </cell>
          <cell r="BB118">
            <v>0.3</v>
          </cell>
          <cell r="BD118">
            <v>7515.1063829600007</v>
          </cell>
          <cell r="BE118">
            <v>13663.8297872</v>
          </cell>
          <cell r="BF118">
            <v>7515.1063829600007</v>
          </cell>
          <cell r="BG118">
            <v>4099.1489361599997</v>
          </cell>
          <cell r="BH118">
            <v>0</v>
          </cell>
          <cell r="BI118">
            <v>2049.5744680799999</v>
          </cell>
          <cell r="BJ118">
            <v>3074.3617021200002</v>
          </cell>
          <cell r="BK118">
            <v>2049.5744680799999</v>
          </cell>
          <cell r="BL118">
            <v>1024.7872340399999</v>
          </cell>
          <cell r="BM118">
            <v>0</v>
          </cell>
          <cell r="BN118">
            <v>2.0671200000000001</v>
          </cell>
          <cell r="BO118">
            <v>3.7584000000000004</v>
          </cell>
          <cell r="BP118">
            <v>2.0671200000000001</v>
          </cell>
          <cell r="BQ118">
            <v>1.1275200000000001</v>
          </cell>
          <cell r="BR118">
            <v>0</v>
          </cell>
          <cell r="BS118">
            <v>0.56376000000000004</v>
          </cell>
          <cell r="BT118">
            <v>0.84564000000000006</v>
          </cell>
          <cell r="BU118">
            <v>0.56376000000000004</v>
          </cell>
          <cell r="BV118">
            <v>0.28188000000000002</v>
          </cell>
          <cell r="BW118">
            <v>0</v>
          </cell>
          <cell r="CC118" t="str">
            <v>(1) 優質304號不銹鋼面板。
(2) 4千瓦三環主爐頭，加熱平均，配合炒鑊架，適宜中式烹調。
(3) 密封式爐頭，溢出物不會流入爐內，清理方便。</v>
          </cell>
          <cell r="CD118" t="str">
            <v>220V</v>
          </cell>
          <cell r="CE118" t="str">
            <v>不適用</v>
          </cell>
          <cell r="CF118" t="str">
            <v>不適用</v>
          </cell>
          <cell r="CG118" t="str">
            <v>不銹鋼</v>
          </cell>
          <cell r="CH118" t="str">
            <v>旋鈕式</v>
          </cell>
          <cell r="CI118" t="str">
            <v>旋鈕式</v>
          </cell>
          <cell r="CJ118" t="str">
            <v>雙環</v>
          </cell>
          <cell r="CK118" t="str">
            <v>單環</v>
          </cell>
          <cell r="CL118" t="str">
            <v>單環</v>
          </cell>
          <cell r="CM118" t="str">
            <v>單環</v>
          </cell>
          <cell r="CN118" t="str">
            <v>不適用</v>
          </cell>
          <cell r="CO118" t="str">
            <v>不適用</v>
          </cell>
          <cell r="CP118" t="str">
            <v>不適用</v>
          </cell>
          <cell r="CQ118" t="str">
            <v>不適用</v>
          </cell>
          <cell r="CR118" t="str">
            <v>長形連架 x 2</v>
          </cell>
          <cell r="CS118" t="str">
            <v>請按此處</v>
          </cell>
          <cell r="CT118" t="str">
            <v>請按此處</v>
          </cell>
          <cell r="CU118" t="str">
            <v>請按此處</v>
          </cell>
          <cell r="CV118">
            <v>9</v>
          </cell>
          <cell r="CW118">
            <v>19.8</v>
          </cell>
          <cell r="CX118"/>
          <cell r="DF118"/>
          <cell r="DG118"/>
        </row>
        <row r="119">
          <cell r="A119" t="str">
            <v>trtb62st_new</v>
          </cell>
          <cell r="B119" t="str">
            <v>現售</v>
          </cell>
          <cell r="D119" t="str">
            <v>Standard Drawing: WDE keyword: TRTB62ST</v>
          </cell>
          <cell r="E119" t="str">
            <v xml:space="preserve">TGC </v>
          </cell>
          <cell r="F119" t="str">
            <v>TRTB62ST-G 升級版</v>
          </cell>
          <cell r="G119" t="str">
            <v>R6SHB / R6SHW / R6SHD (Pink) / R6SHU (Blue)</v>
          </cell>
          <cell r="H119" t="str">
            <v>左手面駁口 - RTL6C</v>
          </cell>
          <cell r="I119" t="str">
            <v>說明書</v>
          </cell>
          <cell r="K119" t="str">
            <v>2017年6月2日</v>
          </cell>
          <cell r="M119" t="str">
            <v>台灣</v>
          </cell>
          <cell r="N119">
            <v>6380</v>
          </cell>
          <cell r="O119" t="str">
            <v>請按此處</v>
          </cell>
          <cell r="P119">
            <v>56</v>
          </cell>
          <cell r="Q119">
            <v>2.204724409448819</v>
          </cell>
          <cell r="R119">
            <v>67</v>
          </cell>
          <cell r="S119">
            <v>2.6377952755905514</v>
          </cell>
          <cell r="T119">
            <v>128</v>
          </cell>
          <cell r="U119">
            <v>5.0393700787401574</v>
          </cell>
          <cell r="V119">
            <v>720</v>
          </cell>
          <cell r="W119">
            <v>28.346456692913389</v>
          </cell>
          <cell r="X119">
            <v>420</v>
          </cell>
          <cell r="Y119">
            <v>16.535433070866144</v>
          </cell>
          <cell r="Z119">
            <v>400</v>
          </cell>
          <cell r="AA119">
            <v>15.748031496062993</v>
          </cell>
          <cell r="AC119" t="str">
            <v>670 x 350 (26.4" x 13.8")</v>
          </cell>
          <cell r="AD119">
            <v>2</v>
          </cell>
          <cell r="AE119" t="str">
            <v>左</v>
          </cell>
          <cell r="AF119" t="str">
            <v>右</v>
          </cell>
          <cell r="AJ119">
            <v>18</v>
          </cell>
          <cell r="AK119">
            <v>18</v>
          </cell>
          <cell r="AL119">
            <v>0</v>
          </cell>
          <cell r="AM119">
            <v>0</v>
          </cell>
          <cell r="AN119">
            <v>0</v>
          </cell>
          <cell r="AO119">
            <v>1.4400000000000002</v>
          </cell>
          <cell r="AP119">
            <v>1.4400000000000002</v>
          </cell>
          <cell r="AQ119">
            <v>0</v>
          </cell>
          <cell r="AR119">
            <v>0</v>
          </cell>
          <cell r="AS119">
            <v>0</v>
          </cell>
          <cell r="AT119">
            <v>5</v>
          </cell>
          <cell r="AU119">
            <v>5</v>
          </cell>
          <cell r="AY119">
            <v>0.4</v>
          </cell>
          <cell r="AZ119">
            <v>0.4</v>
          </cell>
          <cell r="BD119">
            <v>17079.787233999999</v>
          </cell>
          <cell r="BE119">
            <v>17079.787233999999</v>
          </cell>
          <cell r="BF119">
            <v>0</v>
          </cell>
          <cell r="BG119">
            <v>0</v>
          </cell>
          <cell r="BH119">
            <v>0</v>
          </cell>
          <cell r="BI119">
            <v>1366.3829787200002</v>
          </cell>
          <cell r="BJ119">
            <v>1366.3829787200002</v>
          </cell>
          <cell r="BK119">
            <v>0</v>
          </cell>
          <cell r="BL119">
            <v>0</v>
          </cell>
          <cell r="BM119">
            <v>0</v>
          </cell>
          <cell r="BN119">
            <v>4.6980000000000004</v>
          </cell>
          <cell r="BO119">
            <v>4.6980000000000004</v>
          </cell>
          <cell r="BP119">
            <v>0</v>
          </cell>
          <cell r="BQ119">
            <v>0</v>
          </cell>
          <cell r="BR119">
            <v>0</v>
          </cell>
          <cell r="BS119">
            <v>0.37584000000000006</v>
          </cell>
          <cell r="BT119">
            <v>0.37584000000000006</v>
          </cell>
          <cell r="BU119">
            <v>0</v>
          </cell>
          <cell r="BV119">
            <v>0</v>
          </cell>
          <cell r="BW119">
            <v>0</v>
          </cell>
          <cell r="BX119" t="str">
            <v>可以</v>
          </cell>
          <cell r="BY119" t="str">
            <v>可以</v>
          </cell>
          <cell r="CC119" t="str">
            <v>(1) 左邊爐頭預校熄火時間控制功能。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19" t="str">
            <v>不適用</v>
          </cell>
          <cell r="CE119" t="str">
            <v>兩枚D型1.5V</v>
          </cell>
          <cell r="CF119" t="str">
            <v>爐底中央近左前方</v>
          </cell>
          <cell r="CG119" t="str">
            <v xml:space="preserve">黑色強化玻璃 / 白色強化玻璃 / 
粉紅色強化玻璃 / 綠色強化玻璃 ( 2025年4月15日已停售 ) / 藍色強化玻璃 </v>
          </cell>
          <cell r="CH119" t="str">
            <v>旋鈕式</v>
          </cell>
          <cell r="CI119" t="str">
            <v>旋鈕式</v>
          </cell>
          <cell r="CJ119" t="str">
            <v>雙環 x 2</v>
          </cell>
          <cell r="CK119" t="str">
            <v>不適用</v>
          </cell>
          <cell r="CL119" t="str">
            <v>不適用</v>
          </cell>
          <cell r="CM119" t="str">
            <v>不適用</v>
          </cell>
          <cell r="CN119" t="str">
            <v>不適用</v>
          </cell>
          <cell r="CO119" t="str">
            <v>不適用</v>
          </cell>
          <cell r="CP119" t="str">
            <v>不適用</v>
          </cell>
          <cell r="CQ119" t="str">
            <v>不適用</v>
          </cell>
          <cell r="CR119" t="str">
            <v>圓形五邊承托架</v>
          </cell>
          <cell r="CS119" t="str">
            <v>請按此處</v>
          </cell>
          <cell r="CT119" t="str">
            <v>不適用</v>
          </cell>
          <cell r="CU119" t="str">
            <v>請按此處</v>
          </cell>
          <cell r="CV119">
            <v>17</v>
          </cell>
          <cell r="CW119">
            <v>37.400000000000006</v>
          </cell>
          <cell r="CX119" t="str">
            <v>爐架物料：鐵架，搪瓷塗層
此型號的黑色玻璃面，設有左方接駁氣喉位置。</v>
          </cell>
          <cell r="CY119" t="str">
            <v>氣喉接駁位置：爐底後方右角</v>
          </cell>
          <cell r="CZ119" t="str">
            <v>速遞 - 四腳爐架適配器</v>
          </cell>
          <cell r="DF119" t="str">
            <v>貨源正常</v>
          </cell>
          <cell r="DG119" t="str">
            <v>https://goo.gl/JekX1G</v>
          </cell>
        </row>
        <row r="120">
          <cell r="A120" t="str">
            <v>trtb72st_new</v>
          </cell>
          <cell r="B120" t="str">
            <v>現售</v>
          </cell>
          <cell r="E120" t="str">
            <v>TGC</v>
          </cell>
          <cell r="F120" t="str">
            <v>TRTB72ST-G (升級版)</v>
          </cell>
          <cell r="G120" t="str">
            <v>R7SHB / R7SHW</v>
          </cell>
          <cell r="I120" t="str">
            <v>說明書</v>
          </cell>
          <cell r="K120" t="str">
            <v>2017年6月5日</v>
          </cell>
          <cell r="M120" t="str">
            <v>台灣</v>
          </cell>
          <cell r="N120">
            <v>6480</v>
          </cell>
          <cell r="O120" t="str">
            <v>請按此處</v>
          </cell>
          <cell r="P120">
            <v>56</v>
          </cell>
          <cell r="Q120">
            <v>2.204724409448819</v>
          </cell>
          <cell r="R120">
            <v>67</v>
          </cell>
          <cell r="S120">
            <v>2.6377952755905514</v>
          </cell>
          <cell r="T120">
            <v>128</v>
          </cell>
          <cell r="U120">
            <v>5.0393700787401574</v>
          </cell>
          <cell r="V120">
            <v>760</v>
          </cell>
          <cell r="W120">
            <v>29.921259842519685</v>
          </cell>
          <cell r="X120">
            <v>450</v>
          </cell>
          <cell r="Y120">
            <v>17.716535433070867</v>
          </cell>
          <cell r="Z120">
            <v>470</v>
          </cell>
          <cell r="AA120">
            <v>18.503937007874018</v>
          </cell>
          <cell r="AC120" t="str">
            <v>703 x 403 (27.7" x 15.9")</v>
          </cell>
          <cell r="AD120">
            <v>2</v>
          </cell>
          <cell r="AE120" t="str">
            <v>左</v>
          </cell>
          <cell r="AF120" t="str">
            <v>右</v>
          </cell>
          <cell r="AJ120">
            <v>18</v>
          </cell>
          <cell r="AK120">
            <v>18</v>
          </cell>
          <cell r="AL120">
            <v>0</v>
          </cell>
          <cell r="AM120">
            <v>0</v>
          </cell>
          <cell r="AN120">
            <v>0</v>
          </cell>
          <cell r="AO120">
            <v>1.4400000000000002</v>
          </cell>
          <cell r="AP120">
            <v>1.4400000000000002</v>
          </cell>
          <cell r="AQ120">
            <v>0</v>
          </cell>
          <cell r="AR120">
            <v>0</v>
          </cell>
          <cell r="AS120">
            <v>0</v>
          </cell>
          <cell r="AT120">
            <v>5</v>
          </cell>
          <cell r="AU120">
            <v>5</v>
          </cell>
          <cell r="AY120">
            <v>0.4</v>
          </cell>
          <cell r="AZ120">
            <v>0.4</v>
          </cell>
          <cell r="BD120">
            <v>17079.787233999999</v>
          </cell>
          <cell r="BE120">
            <v>17079.787233999999</v>
          </cell>
          <cell r="BF120">
            <v>0</v>
          </cell>
          <cell r="BG120">
            <v>0</v>
          </cell>
          <cell r="BH120">
            <v>0</v>
          </cell>
          <cell r="BI120">
            <v>1366.3829787200002</v>
          </cell>
          <cell r="BJ120">
            <v>1366.3829787200002</v>
          </cell>
          <cell r="BK120">
            <v>0</v>
          </cell>
          <cell r="BL120">
            <v>0</v>
          </cell>
          <cell r="BM120">
            <v>0</v>
          </cell>
          <cell r="BN120">
            <v>4.6980000000000004</v>
          </cell>
          <cell r="BO120">
            <v>4.6980000000000004</v>
          </cell>
          <cell r="BP120">
            <v>0</v>
          </cell>
          <cell r="BQ120">
            <v>0</v>
          </cell>
          <cell r="BR120">
            <v>0</v>
          </cell>
          <cell r="BS120">
            <v>0.37584000000000006</v>
          </cell>
          <cell r="BT120">
            <v>0.37584000000000006</v>
          </cell>
          <cell r="BU120">
            <v>0</v>
          </cell>
          <cell r="BV120">
            <v>0</v>
          </cell>
          <cell r="BW120">
            <v>0</v>
          </cell>
          <cell r="BX120" t="str">
            <v>可以</v>
          </cell>
          <cell r="BY120" t="str">
            <v>可以</v>
          </cell>
          <cell r="CC120" t="str">
            <v>(1) 左邊爐頭預校熄火時間控制功能。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20" t="str">
            <v>不適用</v>
          </cell>
          <cell r="CE120" t="str">
            <v>兩枚D型1.5V</v>
          </cell>
          <cell r="CF120" t="str">
            <v>爐底中央近左前方</v>
          </cell>
          <cell r="CG120" t="str">
            <v>黑色強化玻璃
白色強化玻璃</v>
          </cell>
          <cell r="CH120" t="str">
            <v>旋鈕式</v>
          </cell>
          <cell r="CI120" t="str">
            <v>旋鈕式</v>
          </cell>
          <cell r="CJ120" t="str">
            <v>雙環 x 2</v>
          </cell>
          <cell r="CK120" t="str">
            <v>不適用</v>
          </cell>
          <cell r="CL120" t="str">
            <v>不適用</v>
          </cell>
          <cell r="CM120" t="str">
            <v>不適用</v>
          </cell>
          <cell r="CN120" t="str">
            <v>不適用</v>
          </cell>
          <cell r="CO120" t="str">
            <v>不適用</v>
          </cell>
          <cell r="CP120" t="str">
            <v>不適用</v>
          </cell>
          <cell r="CQ120" t="str">
            <v>不適用</v>
          </cell>
          <cell r="CR120" t="str">
            <v>圓形五邊承托架</v>
          </cell>
          <cell r="CS120" t="str">
            <v>請按此處</v>
          </cell>
          <cell r="CT120" t="str">
            <v>不適用</v>
          </cell>
          <cell r="CU120" t="str">
            <v>請按此處</v>
          </cell>
          <cell r="CV120">
            <v>17</v>
          </cell>
          <cell r="CW120">
            <v>37.400000000000006</v>
          </cell>
          <cell r="CX120"/>
          <cell r="CY120" t="str">
            <v>氣喉接駁位置：爐底後方右角</v>
          </cell>
          <cell r="CZ120" t="str">
            <v>速遞 - 四腳爐架適配器</v>
          </cell>
          <cell r="DF120" t="str">
            <v>貨源正常</v>
          </cell>
          <cell r="DG120" t="str">
            <v>https://goo.gl/mvbUB5</v>
          </cell>
        </row>
        <row r="121">
          <cell r="A121" t="str">
            <v>trtb53st_new</v>
          </cell>
          <cell r="B121" t="str">
            <v>現售</v>
          </cell>
          <cell r="D121" t="str">
            <v>Standard Drawing: WDE keyword: TRTB53S</v>
          </cell>
          <cell r="E121" t="str">
            <v>TGC</v>
          </cell>
          <cell r="F121" t="str">
            <v>TRTB53ST-G (升級版)</v>
          </cell>
          <cell r="G121" t="str">
            <v>R5SHB / R5SHW / 左手面駁口 - R5SHL</v>
          </cell>
          <cell r="I121" t="str">
            <v>說明書</v>
          </cell>
          <cell r="M121" t="str">
            <v>台灣</v>
          </cell>
          <cell r="N121">
            <v>6880</v>
          </cell>
          <cell r="O121" t="str">
            <v>請按此處</v>
          </cell>
          <cell r="P121">
            <v>56</v>
          </cell>
          <cell r="Q121">
            <v>2.204724409448819</v>
          </cell>
          <cell r="R121">
            <v>67</v>
          </cell>
          <cell r="S121">
            <v>2.6377952755905514</v>
          </cell>
          <cell r="T121">
            <v>128</v>
          </cell>
          <cell r="U121">
            <v>5.0393700787401574</v>
          </cell>
          <cell r="V121">
            <v>640</v>
          </cell>
          <cell r="W121">
            <v>25.196850393700789</v>
          </cell>
          <cell r="X121">
            <v>500</v>
          </cell>
          <cell r="Y121">
            <v>19.685039370078741</v>
          </cell>
          <cell r="Z121">
            <v>228.5</v>
          </cell>
          <cell r="AA121">
            <v>8.9960629921259851</v>
          </cell>
          <cell r="AC121" t="str">
            <v>555 x 475 (21.9" x 18.7")</v>
          </cell>
          <cell r="AD121">
            <v>3</v>
          </cell>
          <cell r="AE121" t="str">
            <v>左上</v>
          </cell>
          <cell r="AF121" t="str">
            <v>左下</v>
          </cell>
          <cell r="AG121" t="str">
            <v>右</v>
          </cell>
          <cell r="AJ121">
            <v>10.08</v>
          </cell>
          <cell r="AK121">
            <v>10.08</v>
          </cell>
          <cell r="AL121">
            <v>18</v>
          </cell>
          <cell r="AM121">
            <v>0</v>
          </cell>
          <cell r="AN121">
            <v>0</v>
          </cell>
          <cell r="AO121">
            <v>0</v>
          </cell>
          <cell r="AP121">
            <v>0</v>
          </cell>
          <cell r="AQ121">
            <v>1.4400000000000002</v>
          </cell>
          <cell r="AR121">
            <v>0</v>
          </cell>
          <cell r="AS121">
            <v>0</v>
          </cell>
          <cell r="AT121">
            <v>2.8</v>
          </cell>
          <cell r="AU121">
            <v>2.8</v>
          </cell>
          <cell r="AV121">
            <v>5</v>
          </cell>
          <cell r="BA121">
            <v>0.4</v>
          </cell>
          <cell r="BD121">
            <v>9564.6808510399987</v>
          </cell>
          <cell r="BE121">
            <v>9564.6808510399987</v>
          </cell>
          <cell r="BF121">
            <v>17079.787233999999</v>
          </cell>
          <cell r="BG121">
            <v>0</v>
          </cell>
          <cell r="BH121">
            <v>0</v>
          </cell>
          <cell r="BI121">
            <v>0</v>
          </cell>
          <cell r="BJ121">
            <v>0</v>
          </cell>
          <cell r="BK121">
            <v>1366.3829787200002</v>
          </cell>
          <cell r="BL121">
            <v>0</v>
          </cell>
          <cell r="BM121">
            <v>0</v>
          </cell>
          <cell r="BN121">
            <v>2.6308800000000003</v>
          </cell>
          <cell r="BO121">
            <v>2.6308800000000003</v>
          </cell>
          <cell r="BP121">
            <v>4.6980000000000004</v>
          </cell>
          <cell r="BQ121">
            <v>0</v>
          </cell>
          <cell r="BR121">
            <v>0</v>
          </cell>
          <cell r="BS121">
            <v>0</v>
          </cell>
          <cell r="BT121">
            <v>0</v>
          </cell>
          <cell r="BU121">
            <v>0.37584000000000006</v>
          </cell>
          <cell r="BV121">
            <v>0</v>
          </cell>
          <cell r="BW121">
            <v>0</v>
          </cell>
          <cell r="BX121" t="str">
            <v>不可以</v>
          </cell>
          <cell r="BY121" t="str">
            <v>不可以</v>
          </cell>
          <cell r="BZ121" t="str">
            <v>可以</v>
          </cell>
          <cell r="CC121" t="str">
            <v>(1) 右邊爐頭預校熄火時間控制功能。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21" t="str">
            <v>不適用</v>
          </cell>
          <cell r="CE121" t="str">
            <v>兩枚D型1.5V</v>
          </cell>
          <cell r="CF121" t="str">
            <v>爐底中央近左前方</v>
          </cell>
          <cell r="CG121" t="str">
            <v>黑色強化玻璃
白色強化玻璃</v>
          </cell>
          <cell r="CH121" t="str">
            <v>旋鈕式</v>
          </cell>
          <cell r="CI121" t="str">
            <v>旋鈕式</v>
          </cell>
          <cell r="CJ121" t="str">
            <v>雙環</v>
          </cell>
          <cell r="CK121" t="str">
            <v>單環</v>
          </cell>
          <cell r="CL121" t="str">
            <v>單環</v>
          </cell>
          <cell r="CM121" t="str">
            <v>不適用</v>
          </cell>
          <cell r="CN121" t="str">
            <v>不適用</v>
          </cell>
          <cell r="CO121" t="str">
            <v>不適用</v>
          </cell>
          <cell r="CP121" t="str">
            <v>不適用</v>
          </cell>
          <cell r="CQ121" t="str">
            <v>不適用</v>
          </cell>
          <cell r="CR121" t="str">
            <v>圓形五邊承托架</v>
          </cell>
          <cell r="CS121" t="str">
            <v>請按此處</v>
          </cell>
          <cell r="CT121" t="str">
            <v>不適用</v>
          </cell>
          <cell r="CU121" t="str">
            <v>請按此處</v>
          </cell>
          <cell r="CV121">
            <v>18</v>
          </cell>
          <cell r="CW121">
            <v>39.6</v>
          </cell>
          <cell r="CX121" t="str">
            <v xml:space="preserve">爐頭設計較為高，一般中式鑊適用，但一些較為尖底鑊，就不宜使用。 </v>
          </cell>
          <cell r="CY121" t="str">
            <v>爐頭距離尺寸。﹝單位為厘米MM﹞</v>
          </cell>
          <cell r="DF121" t="str">
            <v>貨源正常</v>
          </cell>
          <cell r="DG121" t="str">
            <v>https://goo.gl/SJrvph</v>
          </cell>
          <cell r="DH121" t="str">
            <v>速遞 - 四腳爐架適配器</v>
          </cell>
        </row>
        <row r="122">
          <cell r="A122" t="str">
            <v>trtb83st_new</v>
          </cell>
          <cell r="B122" t="str">
            <v>現售</v>
          </cell>
          <cell r="D122" t="str">
            <v>Standard Drawing: WDE keyword: TRTB83S</v>
          </cell>
          <cell r="E122" t="str">
            <v>TGC</v>
          </cell>
          <cell r="F122" t="str">
            <v>TRTB83ST-G (升級版)</v>
          </cell>
          <cell r="G122" t="str">
            <v>R8SHB / R8SHW / 左手面駁口 - RTL8C</v>
          </cell>
          <cell r="I122" t="str">
            <v>說明書</v>
          </cell>
          <cell r="M122" t="str">
            <v>台灣</v>
          </cell>
          <cell r="N122">
            <v>7280</v>
          </cell>
          <cell r="O122" t="str">
            <v>請按此處</v>
          </cell>
          <cell r="P122">
            <v>56</v>
          </cell>
          <cell r="Q122">
            <v>2.204724409448819</v>
          </cell>
          <cell r="R122">
            <v>67</v>
          </cell>
          <cell r="S122">
            <v>2.6377952755905514</v>
          </cell>
          <cell r="T122">
            <v>128</v>
          </cell>
          <cell r="U122">
            <v>5.0393700787401574</v>
          </cell>
          <cell r="V122">
            <v>860</v>
          </cell>
          <cell r="W122">
            <v>33.858267716535437</v>
          </cell>
          <cell r="X122">
            <v>450</v>
          </cell>
          <cell r="Y122">
            <v>17.716535433070867</v>
          </cell>
          <cell r="Z122">
            <v>550</v>
          </cell>
          <cell r="AA122">
            <v>21.653543307086615</v>
          </cell>
          <cell r="AC122" t="str">
            <v>815 x 405 (32.1" x 15.9")</v>
          </cell>
          <cell r="AD122">
            <v>3</v>
          </cell>
          <cell r="AE122" t="str">
            <v>左</v>
          </cell>
          <cell r="AF122" t="str">
            <v>中</v>
          </cell>
          <cell r="AG122" t="str">
            <v>右</v>
          </cell>
          <cell r="AJ122">
            <v>18</v>
          </cell>
          <cell r="AK122">
            <v>10.08</v>
          </cell>
          <cell r="AL122">
            <v>18</v>
          </cell>
          <cell r="AM122">
            <v>0</v>
          </cell>
          <cell r="AN122">
            <v>0</v>
          </cell>
          <cell r="AO122">
            <v>1.4400000000000002</v>
          </cell>
          <cell r="AP122">
            <v>0</v>
          </cell>
          <cell r="AQ122">
            <v>1.4400000000000002</v>
          </cell>
          <cell r="AR122">
            <v>0</v>
          </cell>
          <cell r="AS122">
            <v>0</v>
          </cell>
          <cell r="AT122">
            <v>5</v>
          </cell>
          <cell r="AU122">
            <v>2.8</v>
          </cell>
          <cell r="AV122">
            <v>5</v>
          </cell>
          <cell r="AY122">
            <v>0.4</v>
          </cell>
          <cell r="BA122">
            <v>0.4</v>
          </cell>
          <cell r="BD122">
            <v>17079.787233999999</v>
          </cell>
          <cell r="BE122">
            <v>9564.6808510399987</v>
          </cell>
          <cell r="BF122">
            <v>17079.787233999999</v>
          </cell>
          <cell r="BG122">
            <v>0</v>
          </cell>
          <cell r="BH122">
            <v>0</v>
          </cell>
          <cell r="BI122">
            <v>1366.3829787200002</v>
          </cell>
          <cell r="BJ122">
            <v>0</v>
          </cell>
          <cell r="BK122">
            <v>1366.3829787200002</v>
          </cell>
          <cell r="BL122">
            <v>0</v>
          </cell>
          <cell r="BM122">
            <v>0</v>
          </cell>
          <cell r="BN122">
            <v>4.6980000000000004</v>
          </cell>
          <cell r="BO122">
            <v>2.6308800000000003</v>
          </cell>
          <cell r="BP122">
            <v>4.6980000000000004</v>
          </cell>
          <cell r="BQ122">
            <v>0</v>
          </cell>
          <cell r="BR122">
            <v>0</v>
          </cell>
          <cell r="BS122">
            <v>0.37584000000000006</v>
          </cell>
          <cell r="BT122">
            <v>0</v>
          </cell>
          <cell r="BU122">
            <v>0.37584000000000006</v>
          </cell>
          <cell r="BV122">
            <v>0</v>
          </cell>
          <cell r="BW122">
            <v>0</v>
          </cell>
          <cell r="BX122" t="str">
            <v>可以</v>
          </cell>
          <cell r="BY122" t="str">
            <v>不可以</v>
          </cell>
          <cell r="BZ122" t="str">
            <v>可以</v>
          </cell>
          <cell r="CC122" t="str">
            <v>(1) 左邊爐頭預校熄火時間控制功能。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22" t="str">
            <v>不適用</v>
          </cell>
          <cell r="CE122" t="str">
            <v>兩枚D型1.5V</v>
          </cell>
          <cell r="CF122" t="str">
            <v>爐底中央近左前方</v>
          </cell>
          <cell r="CG122" t="str">
            <v>黑色強化玻璃
白色強化玻璃</v>
          </cell>
          <cell r="CH122" t="str">
            <v>旋鈕式</v>
          </cell>
          <cell r="CI122" t="str">
            <v>旋鈕式</v>
          </cell>
          <cell r="CJ122" t="str">
            <v>雙環 x 2</v>
          </cell>
          <cell r="CK122" t="str">
            <v>單環</v>
          </cell>
          <cell r="CL122" t="str">
            <v>不適用</v>
          </cell>
          <cell r="CM122" t="str">
            <v>不適用</v>
          </cell>
          <cell r="CN122" t="str">
            <v>不適用</v>
          </cell>
          <cell r="CO122" t="str">
            <v>不適用</v>
          </cell>
          <cell r="CP122" t="str">
            <v>不適用</v>
          </cell>
          <cell r="CQ122" t="str">
            <v>不適用</v>
          </cell>
          <cell r="CR122" t="str">
            <v>圓形五邊承托架</v>
          </cell>
          <cell r="CS122" t="str">
            <v>請按此處</v>
          </cell>
          <cell r="CT122" t="str">
            <v>不適用</v>
          </cell>
          <cell r="CU122" t="str">
            <v>請按此處</v>
          </cell>
          <cell r="CV122">
            <v>20</v>
          </cell>
          <cell r="CW122">
            <v>44</v>
          </cell>
          <cell r="CX122" t="str">
            <v>爐芯距離資料：由左爐爐芯至中間爐頭爐芯為 11吋，由右邊爐芯至中間爐頭爐芯為 11吋。
爐架物料：
爐架塗層是搪瓷</v>
          </cell>
          <cell r="CY122" t="str">
            <v>氣喉接駁位置：爐底後方右角</v>
          </cell>
          <cell r="CZ122" t="str">
            <v>速遞 - 四腳爐架適配器</v>
          </cell>
          <cell r="DF122" t="str">
            <v>貨源正常</v>
          </cell>
          <cell r="DG122" t="str">
            <v>https://goo.gl/bYgyhZ</v>
          </cell>
        </row>
        <row r="123">
          <cell r="A123" t="str">
            <v>trtb62st_hello</v>
          </cell>
          <cell r="B123" t="str">
            <v>現售</v>
          </cell>
          <cell r="E123" t="str">
            <v xml:space="preserve">TGC </v>
          </cell>
          <cell r="F123" t="str">
            <v>TRTB62ST-G (Hello Kitty版)</v>
          </cell>
          <cell r="K123" t="str">
            <v>2017年7月10日</v>
          </cell>
          <cell r="L123" t="str">
            <v>2024年5月21日</v>
          </cell>
          <cell r="M123" t="str">
            <v>台灣</v>
          </cell>
          <cell r="N123" t="str">
            <v>已停售</v>
          </cell>
          <cell r="O123" t="str">
            <v>請按此處</v>
          </cell>
          <cell r="P123">
            <v>56</v>
          </cell>
          <cell r="Q123">
            <v>2.204724409448819</v>
          </cell>
          <cell r="R123">
            <v>67</v>
          </cell>
          <cell r="S123">
            <v>2.6377952755905514</v>
          </cell>
          <cell r="T123">
            <v>128</v>
          </cell>
          <cell r="U123">
            <v>5.0393700787401574</v>
          </cell>
          <cell r="V123">
            <v>720</v>
          </cell>
          <cell r="W123">
            <v>28.346456692913389</v>
          </cell>
          <cell r="X123">
            <v>420</v>
          </cell>
          <cell r="Y123">
            <v>16.535433070866144</v>
          </cell>
          <cell r="Z123">
            <v>400</v>
          </cell>
          <cell r="AA123">
            <v>15.748031496062993</v>
          </cell>
          <cell r="AC123" t="str">
            <v>670 x 350 (26.4" x 13.8")</v>
          </cell>
          <cell r="AD123">
            <v>2</v>
          </cell>
          <cell r="AE123" t="str">
            <v>左</v>
          </cell>
          <cell r="AF123" t="str">
            <v>右</v>
          </cell>
          <cell r="AJ123">
            <v>18</v>
          </cell>
          <cell r="AK123">
            <v>18</v>
          </cell>
          <cell r="AL123">
            <v>0</v>
          </cell>
          <cell r="AM123">
            <v>0</v>
          </cell>
          <cell r="AN123">
            <v>0</v>
          </cell>
          <cell r="AO123">
            <v>1.4400000000000002</v>
          </cell>
          <cell r="AP123">
            <v>1.4400000000000002</v>
          </cell>
          <cell r="AQ123">
            <v>0</v>
          </cell>
          <cell r="AR123">
            <v>0</v>
          </cell>
          <cell r="AS123">
            <v>0</v>
          </cell>
          <cell r="AT123">
            <v>5</v>
          </cell>
          <cell r="AU123">
            <v>5</v>
          </cell>
          <cell r="AY123">
            <v>0.4</v>
          </cell>
          <cell r="AZ123">
            <v>0.4</v>
          </cell>
          <cell r="BD123">
            <v>17079.787233999999</v>
          </cell>
          <cell r="BE123">
            <v>17079.787233999999</v>
          </cell>
          <cell r="BF123">
            <v>0</v>
          </cell>
          <cell r="BG123">
            <v>0</v>
          </cell>
          <cell r="BH123">
            <v>0</v>
          </cell>
          <cell r="BI123">
            <v>1366.3829787200002</v>
          </cell>
          <cell r="BJ123">
            <v>1366.3829787200002</v>
          </cell>
          <cell r="BK123">
            <v>0</v>
          </cell>
          <cell r="BL123">
            <v>0</v>
          </cell>
          <cell r="BM123">
            <v>0</v>
          </cell>
          <cell r="BN123">
            <v>4.6980000000000004</v>
          </cell>
          <cell r="BO123">
            <v>4.6980000000000004</v>
          </cell>
          <cell r="BP123">
            <v>0</v>
          </cell>
          <cell r="BQ123">
            <v>0</v>
          </cell>
          <cell r="BR123">
            <v>0</v>
          </cell>
          <cell r="BS123">
            <v>0.37584000000000006</v>
          </cell>
          <cell r="BT123">
            <v>0.37584000000000006</v>
          </cell>
          <cell r="BU123">
            <v>0</v>
          </cell>
          <cell r="BV123">
            <v>0</v>
          </cell>
          <cell r="BW123">
            <v>0</v>
          </cell>
          <cell r="BX123" t="str">
            <v>可以</v>
          </cell>
          <cell r="BY123" t="str">
            <v>可以</v>
          </cell>
          <cell r="CC123" t="str">
            <v>(1) 左邊爐頭預校熄火時間控制功能。
(2) 密封式爐頭設計，溢瀉物不易流入爐內，清潔容易。
(3) 爐頭蓋均為槽式火孔設計，不易堵塞，方便清潔。
(4) 玻璃底部加上保護膜，令致玻璃在意外破裂時，不會濺開。
(5) 各爐頭加上回火保護裝置，當發生火焰異常，如回火或倒流火，熱敏電阻感應到高溫，爐火會自動熄滅。
(6) 設有保護罩，能將回火和倒流火風所產生熱力阻隔，避免玻璃被加熱。
(7) 點火裝置升級為快易電子連續式，點火時不用長按控制鈕，使用倍感方便。
(8) 三小時自動熄火功能，應用於各爐頭。《舊版，衹有時間掣爐頭才有三小時自動熄火功能》</v>
          </cell>
          <cell r="CD123" t="str">
            <v>不適用</v>
          </cell>
          <cell r="CE123" t="str">
            <v>兩枚D型1.5V</v>
          </cell>
          <cell r="CF123" t="str">
            <v>爐底中央近左前方</v>
          </cell>
          <cell r="CG123" t="str">
            <v>櫻花粉紅 (於2024年5月21日已停售)
時尚灰黑 (於2024年5月14日已停售)</v>
          </cell>
          <cell r="CH123" t="str">
            <v>旋鈕式</v>
          </cell>
          <cell r="CI123" t="str">
            <v>旋鈕式</v>
          </cell>
          <cell r="CJ123" t="str">
            <v>雙環 x 2</v>
          </cell>
          <cell r="CK123" t="str">
            <v>不適用</v>
          </cell>
          <cell r="CL123" t="str">
            <v>不適用</v>
          </cell>
          <cell r="CM123" t="str">
            <v>不適用</v>
          </cell>
          <cell r="CN123" t="str">
            <v>不適用</v>
          </cell>
          <cell r="CO123" t="str">
            <v>不適用</v>
          </cell>
          <cell r="CP123" t="str">
            <v>不適用</v>
          </cell>
          <cell r="CQ123" t="str">
            <v>不適用</v>
          </cell>
          <cell r="CR123" t="str">
            <v>圓形五邊承托架</v>
          </cell>
          <cell r="CS123" t="str">
            <v>請按此處</v>
          </cell>
          <cell r="CT123" t="str">
            <v>不適用</v>
          </cell>
          <cell r="CU123" t="str">
            <v>請按此處</v>
          </cell>
          <cell r="CV123">
            <v>17</v>
          </cell>
          <cell r="CW123">
            <v>37.400000000000006</v>
          </cell>
          <cell r="CX123" t="str">
            <v>氣喉接駁位置：爐底後方右角</v>
          </cell>
          <cell r="DF123"/>
          <cell r="DG123"/>
        </row>
        <row r="124">
          <cell r="A124" t="str">
            <v>trtb831stg</v>
          </cell>
          <cell r="B124" t="str">
            <v>停售</v>
          </cell>
          <cell r="E124" t="str">
            <v>TGC</v>
          </cell>
          <cell r="F124" t="str">
            <v>TRTB831ST-G</v>
          </cell>
          <cell r="I124" t="str">
            <v>說明書</v>
          </cell>
          <cell r="K124" t="str">
            <v>2017年8月24日</v>
          </cell>
          <cell r="L124" t="str">
            <v>2024年6月25日</v>
          </cell>
          <cell r="M124" t="str">
            <v>台灣</v>
          </cell>
          <cell r="N124" t="str">
            <v>已停售</v>
          </cell>
          <cell r="O124" t="str">
            <v>請按此處</v>
          </cell>
          <cell r="P124">
            <v>56</v>
          </cell>
          <cell r="Q124">
            <v>2.204724409448819</v>
          </cell>
          <cell r="R124">
            <v>67</v>
          </cell>
          <cell r="S124">
            <v>2.6377952755905514</v>
          </cell>
          <cell r="T124">
            <v>128</v>
          </cell>
          <cell r="U124">
            <v>5.0393700787401574</v>
          </cell>
          <cell r="V124">
            <v>880</v>
          </cell>
          <cell r="W124">
            <v>34.645669291338585</v>
          </cell>
          <cell r="X124">
            <v>520</v>
          </cell>
          <cell r="Y124">
            <v>20.472440944881892</v>
          </cell>
          <cell r="AA124">
            <v>0</v>
          </cell>
          <cell r="AC124" t="str">
            <v>815 x 405 (32.1" x 15.9") / 835 x 475 (32.9" x 18.7")</v>
          </cell>
          <cell r="AD124">
            <v>3</v>
          </cell>
          <cell r="AE124" t="str">
            <v>左</v>
          </cell>
          <cell r="AF124" t="str">
            <v>中</v>
          </cell>
          <cell r="AG124" t="str">
            <v>右</v>
          </cell>
          <cell r="AJ124">
            <v>18</v>
          </cell>
          <cell r="AK124">
            <v>10.08</v>
          </cell>
          <cell r="AL124">
            <v>18</v>
          </cell>
          <cell r="AM124">
            <v>0</v>
          </cell>
          <cell r="AN124">
            <v>0</v>
          </cell>
          <cell r="AO124">
            <v>1.4400000000000002</v>
          </cell>
          <cell r="AP124">
            <v>0</v>
          </cell>
          <cell r="AQ124">
            <v>1.4400000000000002</v>
          </cell>
          <cell r="AR124">
            <v>0</v>
          </cell>
          <cell r="AS124">
            <v>0</v>
          </cell>
          <cell r="AT124">
            <v>5</v>
          </cell>
          <cell r="AU124">
            <v>2.8</v>
          </cell>
          <cell r="AV124">
            <v>5</v>
          </cell>
          <cell r="AY124">
            <v>0.4</v>
          </cell>
          <cell r="BA124">
            <v>0.4</v>
          </cell>
          <cell r="BD124">
            <v>17079.787233999999</v>
          </cell>
          <cell r="BE124">
            <v>9564.6808510399987</v>
          </cell>
          <cell r="BF124">
            <v>17079.787233999999</v>
          </cell>
          <cell r="BG124">
            <v>0</v>
          </cell>
          <cell r="BH124">
            <v>0</v>
          </cell>
          <cell r="BI124">
            <v>1366.3829787200002</v>
          </cell>
          <cell r="BJ124">
            <v>0</v>
          </cell>
          <cell r="BK124">
            <v>1366.3829787200002</v>
          </cell>
          <cell r="BL124">
            <v>0</v>
          </cell>
          <cell r="BM124">
            <v>0</v>
          </cell>
          <cell r="BN124">
            <v>4.6980000000000004</v>
          </cell>
          <cell r="BO124">
            <v>2.6308800000000003</v>
          </cell>
          <cell r="BP124">
            <v>4.6980000000000004</v>
          </cell>
          <cell r="BQ124">
            <v>0</v>
          </cell>
          <cell r="BR124">
            <v>0</v>
          </cell>
          <cell r="BS124">
            <v>0.37584000000000006</v>
          </cell>
          <cell r="BT124">
            <v>0</v>
          </cell>
          <cell r="BU124">
            <v>0.37584000000000006</v>
          </cell>
          <cell r="BV124">
            <v>0</v>
          </cell>
          <cell r="BW124">
            <v>0</v>
          </cell>
          <cell r="BX124" t="str">
            <v>可以</v>
          </cell>
          <cell r="BY124" t="str">
            <v>不可以</v>
          </cell>
          <cell r="BZ124" t="str">
            <v>可以</v>
          </cell>
          <cell r="CC124" t="str">
            <v>(1) 黑色玻璃面板，密封式爐頭設計，銅合金製爐頭蓋，表面加上耐高溫黑色塗層，美觀耐用，清理容易。
(2) 快易電子點火，左爐頭設有時間掣。4小時時間掣，3小時自動熄火安全裝置。</v>
          </cell>
          <cell r="CD124" t="str">
            <v>不適用</v>
          </cell>
          <cell r="CE124" t="str">
            <v>兩枚D型1.5V</v>
          </cell>
          <cell r="CF124" t="str">
            <v>爐底中央近左前方</v>
          </cell>
          <cell r="CG124" t="str">
            <v>黑色強化玻璃</v>
          </cell>
          <cell r="CH124" t="str">
            <v>旋鈕式</v>
          </cell>
          <cell r="CI124" t="str">
            <v>旋鈕式</v>
          </cell>
          <cell r="CJ124" t="str">
            <v>銅合金</v>
          </cell>
          <cell r="CK124" t="str">
            <v>銅合金</v>
          </cell>
          <cell r="CR124" t="str">
            <v>圓形五邊承托架</v>
          </cell>
          <cell r="CS124" t="str">
            <v>請按此處</v>
          </cell>
          <cell r="CT124" t="str">
            <v>請按此處</v>
          </cell>
          <cell r="CU124" t="str">
            <v>請按此處</v>
          </cell>
          <cell r="CV124">
            <v>21</v>
          </cell>
          <cell r="CW124">
            <v>46.2</v>
          </cell>
          <cell r="CX124" t="str">
            <v>(1) 玻璃生產商：肖特﹝Schott﹞。
(2) 玻璃生產地：中國。
(3) 安裝於開孔尺寸815 X 405，請使用Product Code: RT95G。
安裝於開孔尺寸 835 x 475，請使用Product Code: RT95R。</v>
          </cell>
          <cell r="CY124" t="str">
            <v>速遞 - 四腳爐架適配器</v>
          </cell>
          <cell r="DF124"/>
          <cell r="DG124"/>
        </row>
        <row r="125">
          <cell r="A125" t="str">
            <v>st62tg</v>
          </cell>
          <cell r="B125" t="str">
            <v>現售</v>
          </cell>
          <cell r="E125" t="str">
            <v>TGC</v>
          </cell>
          <cell r="F125" t="str">
            <v>ST62TG</v>
          </cell>
          <cell r="G125" t="str">
            <v>RTS63</v>
          </cell>
          <cell r="I125" t="str">
            <v>說明書</v>
          </cell>
          <cell r="K125" t="str">
            <v>2017年9月1日</v>
          </cell>
          <cell r="M125" t="str">
            <v>台灣</v>
          </cell>
          <cell r="N125">
            <v>6180</v>
          </cell>
          <cell r="O125" t="str">
            <v>請按此處</v>
          </cell>
          <cell r="P125">
            <v>67</v>
          </cell>
          <cell r="Q125">
            <v>2.6377952755905514</v>
          </cell>
          <cell r="R125">
            <v>80</v>
          </cell>
          <cell r="S125">
            <v>3.1496062992125986</v>
          </cell>
          <cell r="T125">
            <v>142</v>
          </cell>
          <cell r="U125">
            <v>5.5905511811023629</v>
          </cell>
          <cell r="V125">
            <v>745</v>
          </cell>
          <cell r="W125">
            <v>29.330708661417326</v>
          </cell>
          <cell r="X125">
            <v>445</v>
          </cell>
          <cell r="Y125">
            <v>17.519685039370081</v>
          </cell>
          <cell r="Z125">
            <v>420</v>
          </cell>
          <cell r="AA125">
            <v>16.535433070866144</v>
          </cell>
          <cell r="AC125" t="str">
            <v>670 x 350 (26.4" x 13.8")</v>
          </cell>
          <cell r="AD125">
            <v>2</v>
          </cell>
          <cell r="AE125" t="str">
            <v>左</v>
          </cell>
          <cell r="AF125" t="str">
            <v>右</v>
          </cell>
          <cell r="AJ125">
            <v>18</v>
          </cell>
          <cell r="AK125">
            <v>18</v>
          </cell>
          <cell r="AL125">
            <v>0</v>
          </cell>
          <cell r="AM125">
            <v>0</v>
          </cell>
          <cell r="AN125">
            <v>0</v>
          </cell>
          <cell r="AO125">
            <v>1.8</v>
          </cell>
          <cell r="AP125">
            <v>1.8</v>
          </cell>
          <cell r="AQ125">
            <v>0</v>
          </cell>
          <cell r="AR125">
            <v>0</v>
          </cell>
          <cell r="AS125">
            <v>0</v>
          </cell>
          <cell r="AT125">
            <v>5</v>
          </cell>
          <cell r="AU125">
            <v>5</v>
          </cell>
          <cell r="AY125">
            <v>0.5</v>
          </cell>
          <cell r="AZ125">
            <v>0.5</v>
          </cell>
          <cell r="BD125">
            <v>17079.787233999999</v>
          </cell>
          <cell r="BE125">
            <v>17079.787233999999</v>
          </cell>
          <cell r="BF125">
            <v>0</v>
          </cell>
          <cell r="BG125">
            <v>0</v>
          </cell>
          <cell r="BH125">
            <v>0</v>
          </cell>
          <cell r="BI125">
            <v>1707.9787234</v>
          </cell>
          <cell r="BJ125">
            <v>1707.9787234</v>
          </cell>
          <cell r="BK125">
            <v>0</v>
          </cell>
          <cell r="BL125">
            <v>0</v>
          </cell>
          <cell r="BM125">
            <v>0</v>
          </cell>
          <cell r="BN125">
            <v>4.6980000000000004</v>
          </cell>
          <cell r="BO125">
            <v>4.6980000000000004</v>
          </cell>
          <cell r="BP125">
            <v>0</v>
          </cell>
          <cell r="BQ125">
            <v>0</v>
          </cell>
          <cell r="BR125">
            <v>0</v>
          </cell>
          <cell r="BS125">
            <v>0.46980000000000005</v>
          </cell>
          <cell r="BT125">
            <v>0.46980000000000005</v>
          </cell>
          <cell r="BU125">
            <v>0</v>
          </cell>
          <cell r="BV125">
            <v>0</v>
          </cell>
          <cell r="BW125">
            <v>0</v>
          </cell>
          <cell r="BX125" t="str">
            <v>可以</v>
          </cell>
          <cell r="BY125" t="str">
            <v>可以</v>
          </cell>
          <cell r="CC125" t="str">
            <v>(1) 快易電子點火、旋鈕式火力控制及時間掣。
(2) 黑色強化玻璃面配密封式爐頭及鑄鐡爐架。
(3) 熄火安全裝置、3小時自動熄火安全裝置及防高溫爐具保護裝置。
(4) 適合67厘米及70厘米兩種檯面開孔尺寸，橫向式氣體接口，安裝靈活。
(5) 左邊爐頭預校熄火時間。</v>
          </cell>
          <cell r="CD125" t="str">
            <v>不適用</v>
          </cell>
          <cell r="CE125" t="str">
            <v>兩枚D型1.5V</v>
          </cell>
          <cell r="CF125" t="str">
            <v>爐底右前方</v>
          </cell>
          <cell r="CG125" t="str">
            <v>黑色強化玻璃</v>
          </cell>
          <cell r="CH125" t="str">
            <v>旋鈕式</v>
          </cell>
          <cell r="CI125" t="str">
            <v>旋鈕式</v>
          </cell>
          <cell r="CR125" t="str">
            <v>圓形五邊承托架</v>
          </cell>
          <cell r="CS125" t="str">
            <v>請按此處</v>
          </cell>
          <cell r="CT125" t="str">
            <v>請按此處</v>
          </cell>
          <cell r="CU125" t="str">
            <v>請按此處</v>
          </cell>
          <cell r="CV125">
            <v>18</v>
          </cell>
          <cell r="CW125">
            <v>39.6</v>
          </cell>
          <cell r="CX125" t="str">
            <v>(1) 玻璃原產地：中國
(2) 爐具生產商：櫻花﹝Sakura﹞
(3) 與油煙機垂直距離：650毫米</v>
          </cell>
          <cell r="DF125" t="str">
            <v>貨源正常</v>
          </cell>
          <cell r="DG125" t="str">
            <v>https://goo.gl/J6Lj7k</v>
          </cell>
        </row>
        <row r="126">
          <cell r="A126" t="str">
            <v>st62tg_703</v>
          </cell>
          <cell r="B126" t="str">
            <v>現售</v>
          </cell>
          <cell r="E126" t="str">
            <v>TGC</v>
          </cell>
          <cell r="F126" t="str">
            <v>ST62TG</v>
          </cell>
          <cell r="G126" t="str">
            <v>RTS63</v>
          </cell>
          <cell r="I126" t="str">
            <v>說明書</v>
          </cell>
          <cell r="K126" t="str">
            <v>2017年9月1日</v>
          </cell>
          <cell r="M126" t="str">
            <v>台灣</v>
          </cell>
          <cell r="N126">
            <v>6180</v>
          </cell>
          <cell r="O126" t="str">
            <v>請按此處</v>
          </cell>
          <cell r="P126">
            <v>67</v>
          </cell>
          <cell r="Q126">
            <v>2.6377952755905514</v>
          </cell>
          <cell r="R126">
            <v>80</v>
          </cell>
          <cell r="S126">
            <v>3.1496062992125986</v>
          </cell>
          <cell r="T126">
            <v>142</v>
          </cell>
          <cell r="U126">
            <v>5.5905511811023629</v>
          </cell>
          <cell r="V126">
            <v>745</v>
          </cell>
          <cell r="W126">
            <v>29.330708661417326</v>
          </cell>
          <cell r="X126">
            <v>445</v>
          </cell>
          <cell r="Y126">
            <v>17.519685039370081</v>
          </cell>
          <cell r="Z126">
            <v>420</v>
          </cell>
          <cell r="AA126">
            <v>16.535433070866144</v>
          </cell>
          <cell r="AC126" t="str">
            <v>703 x 403 (27.7" x 15.9")</v>
          </cell>
          <cell r="AD126">
            <v>2</v>
          </cell>
          <cell r="AE126" t="str">
            <v>左</v>
          </cell>
          <cell r="AF126" t="str">
            <v>右</v>
          </cell>
          <cell r="AJ126">
            <v>18</v>
          </cell>
          <cell r="AK126">
            <v>18</v>
          </cell>
          <cell r="AL126">
            <v>0</v>
          </cell>
          <cell r="AM126">
            <v>0</v>
          </cell>
          <cell r="AN126">
            <v>0</v>
          </cell>
          <cell r="AO126">
            <v>1.8</v>
          </cell>
          <cell r="AP126">
            <v>1.8</v>
          </cell>
          <cell r="AQ126">
            <v>0</v>
          </cell>
          <cell r="AR126">
            <v>0</v>
          </cell>
          <cell r="AS126">
            <v>0</v>
          </cell>
          <cell r="AT126">
            <v>5</v>
          </cell>
          <cell r="AU126">
            <v>5</v>
          </cell>
          <cell r="AY126">
            <v>0.5</v>
          </cell>
          <cell r="AZ126">
            <v>0.5</v>
          </cell>
          <cell r="BD126">
            <v>17079.787233999999</v>
          </cell>
          <cell r="BE126">
            <v>17079.787233999999</v>
          </cell>
          <cell r="BF126">
            <v>0</v>
          </cell>
          <cell r="BG126">
            <v>0</v>
          </cell>
          <cell r="BH126">
            <v>0</v>
          </cell>
          <cell r="BI126">
            <v>1707.9787234</v>
          </cell>
          <cell r="BJ126">
            <v>1707.9787234</v>
          </cell>
          <cell r="BK126">
            <v>0</v>
          </cell>
          <cell r="BL126">
            <v>0</v>
          </cell>
          <cell r="BM126">
            <v>0</v>
          </cell>
          <cell r="BN126">
            <v>4.6980000000000004</v>
          </cell>
          <cell r="BO126">
            <v>4.6980000000000004</v>
          </cell>
          <cell r="BP126">
            <v>0</v>
          </cell>
          <cell r="BQ126">
            <v>0</v>
          </cell>
          <cell r="BR126">
            <v>0</v>
          </cell>
          <cell r="BS126">
            <v>0.46980000000000005</v>
          </cell>
          <cell r="BT126">
            <v>0.46980000000000005</v>
          </cell>
          <cell r="BU126">
            <v>0</v>
          </cell>
          <cell r="BV126">
            <v>0</v>
          </cell>
          <cell r="BW126">
            <v>0</v>
          </cell>
          <cell r="BX126" t="str">
            <v>可以</v>
          </cell>
          <cell r="BY126" t="str">
            <v>可以</v>
          </cell>
          <cell r="CC126" t="str">
            <v>(1) 快易電子點火、旋鈕式火力控制及時間掣。
(2) 黑色強化玻璃面配密封式爐頭及鑄鐡爐架。
(3) 熄火安全裝置、3小時自動熄火安全裝置及防高溫爐具保護裝置。
(4) 適合67厘米及70厘米兩種檯面開孔尺寸，橫向式氣體接口，安裝靈活。
(5) 左邊爐頭預校熄火時間。</v>
          </cell>
          <cell r="CD126" t="str">
            <v>不適用</v>
          </cell>
          <cell r="CE126" t="str">
            <v>兩枚D型1.5V</v>
          </cell>
          <cell r="CF126" t="str">
            <v>爐底右前方</v>
          </cell>
          <cell r="CG126" t="str">
            <v>黑色強化玻璃</v>
          </cell>
          <cell r="CH126" t="str">
            <v>旋鈕式</v>
          </cell>
          <cell r="CI126" t="str">
            <v>旋鈕式</v>
          </cell>
          <cell r="CR126" t="str">
            <v>圓形五邊承托架</v>
          </cell>
          <cell r="CS126" t="str">
            <v>請按此處</v>
          </cell>
          <cell r="CT126" t="str">
            <v>請按此處</v>
          </cell>
          <cell r="CU126" t="str">
            <v>請按此處</v>
          </cell>
          <cell r="CV126">
            <v>18</v>
          </cell>
          <cell r="CW126">
            <v>39.6</v>
          </cell>
          <cell r="CX126" t="str">
            <v>(1) 玻璃原產地：中國
(2) 爐具生產商：櫻花﹝Sakura﹞
(3) 與油煙機垂直距離：650毫米</v>
          </cell>
          <cell r="DF126" t="str">
            <v>貨源正常</v>
          </cell>
          <cell r="DG126" t="str">
            <v>https://goo.gl/J6Lj7k</v>
          </cell>
        </row>
        <row r="127">
          <cell r="A127" t="str">
            <v>trjh2sgs</v>
          </cell>
          <cell r="B127" t="str">
            <v>停售</v>
          </cell>
          <cell r="C127" t="str">
            <v>以座枱式方法安裝，請按此處</v>
          </cell>
          <cell r="E127" t="str">
            <v>TGC</v>
          </cell>
          <cell r="F127" t="str">
            <v>TRJH2S-GS</v>
          </cell>
          <cell r="J127" t="str">
            <v>說明書</v>
          </cell>
          <cell r="K127" t="str">
            <v>2012年12月21日</v>
          </cell>
          <cell r="L127" t="str">
            <v>2018年6月28日</v>
          </cell>
          <cell r="M127" t="str">
            <v>日本</v>
          </cell>
          <cell r="N127" t="str">
            <v>已停售</v>
          </cell>
          <cell r="O127" t="str">
            <v>請按此處</v>
          </cell>
          <cell r="P127">
            <v>56</v>
          </cell>
          <cell r="Q127">
            <v>2.204724409448819</v>
          </cell>
          <cell r="R127">
            <v>96</v>
          </cell>
          <cell r="S127">
            <v>3.7795275590551185</v>
          </cell>
          <cell r="T127">
            <v>150</v>
          </cell>
          <cell r="U127">
            <v>5.9055118110236222</v>
          </cell>
          <cell r="V127">
            <v>712</v>
          </cell>
          <cell r="W127">
            <v>28.031496062992126</v>
          </cell>
          <cell r="X127">
            <v>392</v>
          </cell>
          <cell r="Y127">
            <v>15.433070866141733</v>
          </cell>
          <cell r="Z127">
            <v>440</v>
          </cell>
          <cell r="AA127">
            <v>17.322834645669293</v>
          </cell>
          <cell r="AC127" t="str">
            <v>670 x 350 (26.4" x 13.8")</v>
          </cell>
          <cell r="AD127">
            <v>2</v>
          </cell>
          <cell r="AE127" t="str">
            <v>左</v>
          </cell>
          <cell r="AF127" t="str">
            <v>右</v>
          </cell>
          <cell r="AJ127">
            <v>18</v>
          </cell>
          <cell r="AK127">
            <v>18</v>
          </cell>
          <cell r="AL127">
            <v>0</v>
          </cell>
          <cell r="AM127">
            <v>0</v>
          </cell>
          <cell r="AN127">
            <v>0</v>
          </cell>
          <cell r="AO127">
            <v>3.24</v>
          </cell>
          <cell r="AP127">
            <v>3.24</v>
          </cell>
          <cell r="AQ127">
            <v>0</v>
          </cell>
          <cell r="AR127">
            <v>0</v>
          </cell>
          <cell r="AS127">
            <v>0</v>
          </cell>
          <cell r="AT127">
            <v>5</v>
          </cell>
          <cell r="AU127">
            <v>5</v>
          </cell>
          <cell r="AY127">
            <v>0.9</v>
          </cell>
          <cell r="AZ127">
            <v>0.9</v>
          </cell>
          <cell r="BD127">
            <v>17079.787233999999</v>
          </cell>
          <cell r="BE127">
            <v>17079.787233999999</v>
          </cell>
          <cell r="BF127">
            <v>0</v>
          </cell>
          <cell r="BG127">
            <v>0</v>
          </cell>
          <cell r="BH127">
            <v>0</v>
          </cell>
          <cell r="BI127">
            <v>3074.3617021200002</v>
          </cell>
          <cell r="BJ127">
            <v>3074.3617021200002</v>
          </cell>
          <cell r="BK127">
            <v>0</v>
          </cell>
          <cell r="BL127">
            <v>0</v>
          </cell>
          <cell r="BM127">
            <v>0</v>
          </cell>
          <cell r="BN127">
            <v>4.6980000000000004</v>
          </cell>
          <cell r="BO127">
            <v>4.6980000000000004</v>
          </cell>
          <cell r="BP127">
            <v>0</v>
          </cell>
          <cell r="BQ127">
            <v>0</v>
          </cell>
          <cell r="BR127">
            <v>0</v>
          </cell>
          <cell r="BS127">
            <v>0.84564000000000006</v>
          </cell>
          <cell r="BT127">
            <v>0.84564000000000006</v>
          </cell>
          <cell r="BU127">
            <v>0</v>
          </cell>
          <cell r="BV127">
            <v>0</v>
          </cell>
          <cell r="BW127">
            <v>0</v>
          </cell>
          <cell r="BX127" t="str">
            <v>不可以</v>
          </cell>
          <cell r="BY127" t="str">
            <v>不可以</v>
          </cell>
          <cell r="CC127" t="str">
            <v>(1) 前置式控制桿，同時用作電子點火和火力調節，操作簡易。
(2) 密封式爐頭，槽式火孔，不鏽鋼爐頭蓋爐架，強化玻璃面，玻璃底部加上保護鋁膜，堅固耐用。
(3) 特別爐身設計和內置穩壓器，適合嵌入式或座枱式安裝。
(4) 不需接駁調壓器。</v>
          </cell>
          <cell r="CD127" t="str">
            <v>不適用</v>
          </cell>
          <cell r="CE127" t="str">
            <v>一枚C型1.5V</v>
          </cell>
          <cell r="CF127" t="str">
            <v>爐底中前方</v>
          </cell>
          <cell r="CG127" t="str">
            <v>黑色強化玻璃連鋁合金框架
白色強化玻璃連鋁合金框架</v>
          </cell>
          <cell r="CH127" t="str">
            <v>推桿式</v>
          </cell>
          <cell r="CI127" t="str">
            <v>推桿式</v>
          </cell>
          <cell r="CL127" t="str">
            <v>不適用</v>
          </cell>
          <cell r="CM127" t="str">
            <v>不適用</v>
          </cell>
          <cell r="CN127" t="str">
            <v>不適用</v>
          </cell>
          <cell r="CO127" t="str">
            <v>不適用</v>
          </cell>
          <cell r="CP127" t="str">
            <v>不適用</v>
          </cell>
          <cell r="CQ127" t="str">
            <v>不適用</v>
          </cell>
          <cell r="CR127" t="str">
            <v>圓形四邊承托架</v>
          </cell>
          <cell r="CS127" t="str">
            <v>請按此處</v>
          </cell>
          <cell r="CU127" t="str">
            <v>請按此處</v>
          </cell>
          <cell r="CV127">
            <v>11</v>
          </cell>
          <cell r="CW127">
            <v>24.200000000000003</v>
          </cell>
          <cell r="CX127" t="str">
            <v xml:space="preserve">如客戶購買時，請向客人詢問是那一款式的安裝方法及用適當的 Product Code 落單。
如客人日後需要重裝爐具時，請以合適的重裝 (Fix Own) 費用落單。
        (即如客人之前是選購座枱式煮食爐 (Hotplate)安裝，重裝亦需要座枱式安裝方法，便必須按照重裝座枱煮食爐的費用落單)
</v>
          </cell>
          <cell r="CY127" t="str">
            <v>速遞 - 四腳爐架適配器</v>
          </cell>
          <cell r="DF127" t="e">
            <v>#N/A</v>
          </cell>
          <cell r="DG127"/>
        </row>
        <row r="128">
          <cell r="A128" t="str">
            <v>trtb72ltc_gery</v>
          </cell>
          <cell r="B128" t="str">
            <v>現售</v>
          </cell>
          <cell r="D128" t="str">
            <v>Standard Drawing: WDE keyword: TRTB72LT</v>
          </cell>
          <cell r="E128" t="str">
            <v>TGC</v>
          </cell>
          <cell r="F128" t="str">
            <v>TRTB72LT-C 蓮芯火 (灰色)</v>
          </cell>
          <cell r="G128" t="str">
            <v>R72TD</v>
          </cell>
          <cell r="K128" t="str">
            <v>2018年6月25日</v>
          </cell>
          <cell r="M128" t="str">
            <v>台灣</v>
          </cell>
          <cell r="N128">
            <v>7680</v>
          </cell>
          <cell r="O128" t="str">
            <v>請按此處</v>
          </cell>
          <cell r="P128">
            <v>55</v>
          </cell>
          <cell r="Q128">
            <v>2.1653543307086616</v>
          </cell>
          <cell r="R128">
            <v>64</v>
          </cell>
          <cell r="S128">
            <v>2.5196850393700787</v>
          </cell>
          <cell r="T128">
            <v>108.5</v>
          </cell>
          <cell r="U128">
            <v>4.271653543307087</v>
          </cell>
          <cell r="V128">
            <v>760</v>
          </cell>
          <cell r="W128">
            <v>29.921259842519685</v>
          </cell>
          <cell r="X128">
            <v>440</v>
          </cell>
          <cell r="Y128">
            <v>17.322834645669293</v>
          </cell>
          <cell r="Z128">
            <v>470</v>
          </cell>
          <cell r="AA128">
            <v>18.503937007874018</v>
          </cell>
          <cell r="AC128" t="str">
            <v>703 x 403 (27.7" x 15.9")</v>
          </cell>
          <cell r="AD128">
            <v>2</v>
          </cell>
          <cell r="AE128" t="str">
            <v>左</v>
          </cell>
          <cell r="AF128" t="str">
            <v>右</v>
          </cell>
          <cell r="AJ128">
            <v>19.079999999999998</v>
          </cell>
          <cell r="AK128">
            <v>19.079999999999998</v>
          </cell>
          <cell r="AL128">
            <v>0</v>
          </cell>
          <cell r="AM128">
            <v>0</v>
          </cell>
          <cell r="AN128">
            <v>0</v>
          </cell>
          <cell r="AO128">
            <v>1.08</v>
          </cell>
          <cell r="AP128">
            <v>1.08</v>
          </cell>
          <cell r="AQ128">
            <v>0</v>
          </cell>
          <cell r="AR128">
            <v>0</v>
          </cell>
          <cell r="AS128">
            <v>0</v>
          </cell>
          <cell r="AT128">
            <v>5.3</v>
          </cell>
          <cell r="AU128">
            <v>5.3</v>
          </cell>
          <cell r="AY128">
            <v>0.3</v>
          </cell>
          <cell r="AZ128">
            <v>0.3</v>
          </cell>
          <cell r="BD128">
            <v>18104.574468039998</v>
          </cell>
          <cell r="BE128">
            <v>18104.574468039998</v>
          </cell>
          <cell r="BF128">
            <v>0</v>
          </cell>
          <cell r="BG128">
            <v>0</v>
          </cell>
          <cell r="BH128">
            <v>0</v>
          </cell>
          <cell r="BI128">
            <v>1024.7872340399999</v>
          </cell>
          <cell r="BJ128">
            <v>1024.7872340399999</v>
          </cell>
          <cell r="BK128">
            <v>0</v>
          </cell>
          <cell r="BL128">
            <v>0</v>
          </cell>
          <cell r="BM128">
            <v>0</v>
          </cell>
          <cell r="BN128">
            <v>4.9798799999999996</v>
          </cell>
          <cell r="BO128">
            <v>4.9798799999999996</v>
          </cell>
          <cell r="BP128">
            <v>0</v>
          </cell>
          <cell r="BQ128">
            <v>0</v>
          </cell>
          <cell r="BR128">
            <v>0</v>
          </cell>
          <cell r="BS128">
            <v>0.28188000000000002</v>
          </cell>
          <cell r="BT128">
            <v>0.28188000000000002</v>
          </cell>
          <cell r="BU128">
            <v>0</v>
          </cell>
          <cell r="BV128">
            <v>0</v>
          </cell>
          <cell r="BW128">
            <v>0</v>
          </cell>
          <cell r="BX128" t="str">
            <v>不可以</v>
          </cell>
          <cell r="BY128" t="str">
            <v>不可以</v>
          </cell>
          <cell r="CC128" t="str">
            <v>(1) 創新灰色陶瓷玻璃面，新穎時尚。
(2) 雙層爐頭設計，可獨立調楖下層火，最低火力 0.3 千瓦，滿足各式烹調要求。
(3) 簡易時間掣功能，到達預校熄火時間，爐火自動熄滅，使用方便快捷。
(4) 配合密封式爐頭和低身鑄鐵爐架，外形優美典雅，清潔容易。</v>
          </cell>
          <cell r="CD128" t="str">
            <v>不適用</v>
          </cell>
          <cell r="CE128" t="str">
            <v>兩枚D型1.5V</v>
          </cell>
          <cell r="CG128" t="str">
            <v>灰色陶瓷玻璃</v>
          </cell>
          <cell r="CH128" t="str">
            <v>旋鈕式</v>
          </cell>
          <cell r="CI128" t="str">
            <v>旋鈕式</v>
          </cell>
          <cell r="CR128" t="str">
            <v>圓形六邊承托架</v>
          </cell>
          <cell r="CS128" t="str">
            <v>請按此處</v>
          </cell>
          <cell r="CT128" t="str">
            <v>請按此處</v>
          </cell>
          <cell r="CV128">
            <v>12.5</v>
          </cell>
          <cell r="CW128">
            <v>27.500000000000004</v>
          </cell>
          <cell r="DF128" t="str">
            <v>貨源正常</v>
          </cell>
          <cell r="DG128" t="str">
            <v>https://goo.gl/rCQ7Nc</v>
          </cell>
        </row>
        <row r="129">
          <cell r="A129" t="str">
            <v>mega2_new</v>
          </cell>
          <cell r="B129" t="str">
            <v>停售</v>
          </cell>
          <cell r="D129" t="str">
            <v>Standard Drawing: WDE keyword: MEGA2</v>
          </cell>
          <cell r="E129" t="str">
            <v>TGC</v>
          </cell>
          <cell r="F129" t="str">
            <v>MEGA2 (升級版)</v>
          </cell>
          <cell r="H129" t="str">
            <v>外置鋰電池充電模組</v>
          </cell>
          <cell r="I129" t="str">
            <v>說明書</v>
          </cell>
          <cell r="J129" t="str">
            <v>時間掣使用方法</v>
          </cell>
          <cell r="K129" t="str">
            <v>2018年9月21日</v>
          </cell>
          <cell r="L129" t="str">
            <v>2025年4月15日</v>
          </cell>
          <cell r="M129" t="str">
            <v>日本</v>
          </cell>
          <cell r="N129" t="str">
            <v>已停售</v>
          </cell>
          <cell r="O129" t="str">
            <v>請按此處</v>
          </cell>
          <cell r="P129">
            <v>54</v>
          </cell>
          <cell r="Q129">
            <v>2.1259842519685042</v>
          </cell>
          <cell r="R129">
            <v>66</v>
          </cell>
          <cell r="S129">
            <v>2.598425196850394</v>
          </cell>
          <cell r="T129">
            <v>125</v>
          </cell>
          <cell r="U129">
            <v>4.9212598425196852</v>
          </cell>
          <cell r="V129">
            <v>737</v>
          </cell>
          <cell r="W129">
            <v>29.015748031496063</v>
          </cell>
          <cell r="X129">
            <v>438</v>
          </cell>
          <cell r="Y129">
            <v>17.244094488188978</v>
          </cell>
          <cell r="Z129">
            <v>470</v>
          </cell>
          <cell r="AA129">
            <v>18.503937007874018</v>
          </cell>
          <cell r="AC129" t="str">
            <v>703 x 403 (27.7" x 15.9")</v>
          </cell>
          <cell r="AD129">
            <v>2</v>
          </cell>
          <cell r="AE129" t="str">
            <v>左</v>
          </cell>
          <cell r="AF129" t="str">
            <v>右</v>
          </cell>
          <cell r="AJ129">
            <v>21.6</v>
          </cell>
          <cell r="AK129">
            <v>21.6</v>
          </cell>
          <cell r="AL129">
            <v>0</v>
          </cell>
          <cell r="AM129">
            <v>0</v>
          </cell>
          <cell r="AN129">
            <v>0</v>
          </cell>
          <cell r="AO129">
            <v>1.08</v>
          </cell>
          <cell r="AP129">
            <v>1.08</v>
          </cell>
          <cell r="AQ129">
            <v>0</v>
          </cell>
          <cell r="AR129">
            <v>0</v>
          </cell>
          <cell r="AS129">
            <v>0</v>
          </cell>
          <cell r="AT129">
            <v>6</v>
          </cell>
          <cell r="AU129">
            <v>6</v>
          </cell>
          <cell r="AY129">
            <v>0.3</v>
          </cell>
          <cell r="AZ129">
            <v>0.3</v>
          </cell>
          <cell r="BD129">
            <v>20495.744680800002</v>
          </cell>
          <cell r="BE129">
            <v>20495.744680800002</v>
          </cell>
          <cell r="BF129">
            <v>0</v>
          </cell>
          <cell r="BG129">
            <v>0</v>
          </cell>
          <cell r="BH129">
            <v>0</v>
          </cell>
          <cell r="BI129">
            <v>1024.7872340399999</v>
          </cell>
          <cell r="BJ129">
            <v>1024.7872340399999</v>
          </cell>
          <cell r="BK129">
            <v>0</v>
          </cell>
          <cell r="BL129">
            <v>0</v>
          </cell>
          <cell r="BM129">
            <v>0</v>
          </cell>
          <cell r="BN129">
            <v>5.6376000000000008</v>
          </cell>
          <cell r="BO129">
            <v>5.6376000000000008</v>
          </cell>
          <cell r="BP129">
            <v>0</v>
          </cell>
          <cell r="BQ129">
            <v>0</v>
          </cell>
          <cell r="BR129">
            <v>0</v>
          </cell>
          <cell r="BS129">
            <v>0.28188000000000002</v>
          </cell>
          <cell r="BT129">
            <v>0.28188000000000002</v>
          </cell>
          <cell r="BU129">
            <v>0</v>
          </cell>
          <cell r="BV129">
            <v>0</v>
          </cell>
          <cell r="BW129">
            <v>0</v>
          </cell>
          <cell r="BX129" t="str">
            <v>可以</v>
          </cell>
          <cell r="BY129" t="str">
            <v>可以</v>
          </cell>
          <cell r="CC129" t="str">
            <v>(1)4小時可調自動熄火時間掣，煮食更方便。(設於左方爐頭)
(2)全密封爐頭，清理容易。
(3)6千瓦強勁雙環爐頭，獨立芯火，滿足底煮食需要。
(4)電子連續點火系統，旋鈕式火力控制，操作簡單靈活。
(5)銅合金製爐頭蓋，表面加上耐高溫塗層，槽式火孔，堅固耐用，清理容易。
(6)熄火安全裝置，3小時自動熄火安全裝置和新增防高溫爐具保護裝置，確保安全。
(7) 升級版，改良了點火電極和防回火裝置，提升點火可靠性和爐具耐用性。</v>
          </cell>
          <cell r="CD129" t="str">
            <v>不適用</v>
          </cell>
          <cell r="CE129" t="str">
            <v>兩枚D型1.5V</v>
          </cell>
          <cell r="CF129" t="str">
            <v>爐底中央</v>
          </cell>
          <cell r="CG129" t="str">
            <v>陶瓷玻璃配黑色框架
陶瓷玻璃配銀色框架</v>
          </cell>
          <cell r="CH129" t="str">
            <v>旋鈕式</v>
          </cell>
          <cell r="CI129" t="str">
            <v>旋鈕式</v>
          </cell>
          <cell r="CJ129" t="str">
            <v>雙環x2</v>
          </cell>
          <cell r="CK129" t="str">
            <v>不適用</v>
          </cell>
          <cell r="CL129" t="str">
            <v>不適用</v>
          </cell>
          <cell r="CM129" t="str">
            <v>不適用</v>
          </cell>
          <cell r="CN129" t="str">
            <v>不適用</v>
          </cell>
          <cell r="CO129" t="str">
            <v>不適用</v>
          </cell>
          <cell r="CP129" t="str">
            <v>不適用</v>
          </cell>
          <cell r="CQ129" t="str">
            <v>不適用</v>
          </cell>
          <cell r="CR129" t="str">
            <v>圓形五邊承托架 x 2</v>
          </cell>
          <cell r="CS129" t="str">
            <v>請按此處</v>
          </cell>
          <cell r="CT129" t="str">
            <v>不適用</v>
          </cell>
          <cell r="CU129" t="str">
            <v>請按此處</v>
          </cell>
          <cell r="CV129">
            <v>14.5</v>
          </cell>
          <cell r="CW129">
            <v>31.900000000000002</v>
          </cell>
          <cell r="CX129" t="str">
            <v>玻璃生產商：Schott
玻璃原產地：德國
進氣保護罩物料：鋁
爐架物料：鑄鐵 Cast Iron</v>
          </cell>
          <cell r="CY129" t="str">
            <v>故障訊號</v>
          </cell>
          <cell r="DF129"/>
          <cell r="DG129"/>
        </row>
        <row r="130">
          <cell r="A130" t="str">
            <v>mega3_new</v>
          </cell>
          <cell r="B130" t="str">
            <v>停售</v>
          </cell>
          <cell r="D130" t="str">
            <v>Standard Drawing: WDE keyword: MEGA3</v>
          </cell>
          <cell r="E130" t="str">
            <v>TGC</v>
          </cell>
          <cell r="F130" t="str">
            <v>MEGA3 (升級版)</v>
          </cell>
          <cell r="H130" t="str">
            <v>外置鋰電池充電模組</v>
          </cell>
          <cell r="I130" t="str">
            <v>說明書</v>
          </cell>
          <cell r="J130" t="str">
            <v>時間掣使用方法</v>
          </cell>
          <cell r="K130" t="str">
            <v>2018年9月21日</v>
          </cell>
          <cell r="L130" t="str">
            <v>2025年4月30日</v>
          </cell>
          <cell r="M130" t="str">
            <v>日本</v>
          </cell>
          <cell r="N130" t="str">
            <v>已停售</v>
          </cell>
          <cell r="O130" t="str">
            <v>請按此處</v>
          </cell>
          <cell r="P130">
            <v>54</v>
          </cell>
          <cell r="Q130">
            <v>2.1259842519685042</v>
          </cell>
          <cell r="R130">
            <v>66</v>
          </cell>
          <cell r="S130">
            <v>2.598425196850394</v>
          </cell>
          <cell r="T130">
            <v>125</v>
          </cell>
          <cell r="U130">
            <v>4.9212598425196852</v>
          </cell>
          <cell r="V130">
            <v>852</v>
          </cell>
          <cell r="W130">
            <v>33.543307086614178</v>
          </cell>
          <cell r="X130">
            <v>438</v>
          </cell>
          <cell r="Y130">
            <v>17.244094488188978</v>
          </cell>
          <cell r="Z130">
            <v>585</v>
          </cell>
          <cell r="AA130">
            <v>23.031496062992126</v>
          </cell>
          <cell r="AC130" t="str">
            <v>815 x 405 (32.1" x 15.9")</v>
          </cell>
          <cell r="AD130">
            <v>3</v>
          </cell>
          <cell r="AE130" t="str">
            <v>左</v>
          </cell>
          <cell r="AF130" t="str">
            <v>中</v>
          </cell>
          <cell r="AG130" t="str">
            <v>右</v>
          </cell>
          <cell r="AJ130">
            <v>21.6</v>
          </cell>
          <cell r="AK130">
            <v>10.08</v>
          </cell>
          <cell r="AL130">
            <v>21.6</v>
          </cell>
          <cell r="AM130">
            <v>0</v>
          </cell>
          <cell r="AN130">
            <v>0</v>
          </cell>
          <cell r="AO130">
            <v>1.08</v>
          </cell>
          <cell r="AP130">
            <v>2.16</v>
          </cell>
          <cell r="AQ130">
            <v>1.08</v>
          </cell>
          <cell r="AR130">
            <v>0</v>
          </cell>
          <cell r="AS130">
            <v>0</v>
          </cell>
          <cell r="AT130">
            <v>6</v>
          </cell>
          <cell r="AU130">
            <v>2.8</v>
          </cell>
          <cell r="AV130">
            <v>6</v>
          </cell>
          <cell r="AY130">
            <v>0.3</v>
          </cell>
          <cell r="AZ130">
            <v>0.6</v>
          </cell>
          <cell r="BA130">
            <v>0.3</v>
          </cell>
          <cell r="BD130">
            <v>20495.744680800002</v>
          </cell>
          <cell r="BE130">
            <v>9564.6808510399987</v>
          </cell>
          <cell r="BF130">
            <v>20495.744680800002</v>
          </cell>
          <cell r="BG130">
            <v>0</v>
          </cell>
          <cell r="BH130">
            <v>0</v>
          </cell>
          <cell r="BI130">
            <v>1024.7872340399999</v>
          </cell>
          <cell r="BJ130">
            <v>2049.5744680799999</v>
          </cell>
          <cell r="BK130">
            <v>1024.7872340399999</v>
          </cell>
          <cell r="BL130">
            <v>0</v>
          </cell>
          <cell r="BM130">
            <v>0</v>
          </cell>
          <cell r="BN130">
            <v>5.6376000000000008</v>
          </cell>
          <cell r="BO130">
            <v>2.6308800000000003</v>
          </cell>
          <cell r="BP130">
            <v>5.6376000000000008</v>
          </cell>
          <cell r="BQ130">
            <v>0</v>
          </cell>
          <cell r="BR130">
            <v>0</v>
          </cell>
          <cell r="BS130">
            <v>0.28188000000000002</v>
          </cell>
          <cell r="BT130">
            <v>0.56376000000000004</v>
          </cell>
          <cell r="BU130">
            <v>0.28188000000000002</v>
          </cell>
          <cell r="BV130">
            <v>0</v>
          </cell>
          <cell r="BW130">
            <v>0</v>
          </cell>
          <cell r="BX130" t="str">
            <v>可以</v>
          </cell>
          <cell r="BY130" t="str">
            <v>不可以</v>
          </cell>
          <cell r="BZ130" t="str">
            <v>可以</v>
          </cell>
          <cell r="CC130" t="str">
            <v>(1)4小時可調自動熄火時間掣，煮食更方便。
(2)全密封爐頭，清理容易。
(3)6千瓦強勁雙環爐頭，獨立芯火，滿足底煮食需要。
(4)電子連續點火系統，旋鈕式火力控制，操作簡單靈活。
(5)銅合金製爐頭蓋，表面加上耐高溫塗層，槽式火孔，堅固耐用，清理容易。
(6)熄火安全裝置，3小時自動熄火安全裝置和新增防高溫爐具保護裝置，確保安全。
(7) 升級版，改良了點火電極和防回火裝置，提升點火可靠性和爐具耐用性。</v>
          </cell>
          <cell r="CD130" t="str">
            <v>不適用</v>
          </cell>
          <cell r="CE130" t="str">
            <v>兩枚D型1.5V</v>
          </cell>
          <cell r="CF130" t="str">
            <v>爐底前方右角</v>
          </cell>
          <cell r="CG130" t="str">
            <v>陶瓷玻璃配黑色框架 ( 於2025年4月30日停售 )
陶瓷玻璃配銀色框架 ( 於2025年4月26日停售 )</v>
          </cell>
          <cell r="CH130" t="str">
            <v>旋鈕式</v>
          </cell>
          <cell r="CI130" t="str">
            <v>旋鈕式</v>
          </cell>
          <cell r="CJ130" t="str">
            <v>雙環x2</v>
          </cell>
          <cell r="CK130" t="str">
            <v>單環</v>
          </cell>
          <cell r="CL130" t="str">
            <v>不適用</v>
          </cell>
          <cell r="CM130" t="str">
            <v>不適用</v>
          </cell>
          <cell r="CN130" t="str">
            <v>不適用</v>
          </cell>
          <cell r="CO130" t="str">
            <v>不適用</v>
          </cell>
          <cell r="CP130" t="str">
            <v>不適用</v>
          </cell>
          <cell r="CQ130" t="str">
            <v>不適用</v>
          </cell>
          <cell r="CR130" t="str">
            <v>圓形五邊承托架 x 2</v>
          </cell>
          <cell r="CS130" t="str">
            <v>請按此處</v>
          </cell>
          <cell r="CT130" t="str">
            <v>不適用</v>
          </cell>
          <cell r="CU130" t="str">
            <v>請按此處</v>
          </cell>
          <cell r="CV130">
            <v>15.5</v>
          </cell>
          <cell r="CW130">
            <v>34.1</v>
          </cell>
          <cell r="CX130" t="str">
            <v>生產商：林內
產地：日本
玻璃生產商：Schott
玻璃原產地：德國
進氣保護罩物料：鋁
爐架物料：
高溫鑄鐵</v>
          </cell>
          <cell r="CY130" t="str">
            <v>故障訊號</v>
          </cell>
          <cell r="CZ130" t="str">
            <v>兩個爐頭中心長度為11吋半左右﹝紅線﹞</v>
          </cell>
          <cell r="DF130"/>
          <cell r="DG130"/>
        </row>
        <row r="131">
          <cell r="A131" t="str">
            <v>rjb31ct</v>
          </cell>
          <cell r="B131" t="str">
            <v>現售</v>
          </cell>
          <cell r="E131" t="str">
            <v>TGC</v>
          </cell>
          <cell r="F131" t="str">
            <v>安裝兩部“Domino”嵌入式煮食爐以上，請按此處</v>
          </cell>
          <cell r="G131" t="str">
            <v>RJB31CT (BRL)</v>
          </cell>
          <cell r="H131" t="str">
            <v>RTB02 向下接頭</v>
          </cell>
          <cell r="K131" t="str">
            <v>2019年12月16日</v>
          </cell>
          <cell r="M131" t="str">
            <v>日本</v>
          </cell>
          <cell r="N131">
            <v>10550</v>
          </cell>
          <cell r="O131" t="str">
            <v>請按此處</v>
          </cell>
          <cell r="P131">
            <v>54</v>
          </cell>
          <cell r="Q131">
            <v>2.1259842519685042</v>
          </cell>
          <cell r="R131">
            <v>66</v>
          </cell>
          <cell r="S131">
            <v>2.598425196850394</v>
          </cell>
          <cell r="T131">
            <v>124</v>
          </cell>
          <cell r="U131">
            <v>4.8818897637795278</v>
          </cell>
          <cell r="V131">
            <v>290</v>
          </cell>
          <cell r="W131">
            <v>11.41732283464567</v>
          </cell>
          <cell r="X131">
            <v>520</v>
          </cell>
          <cell r="Y131">
            <v>20.472440944881892</v>
          </cell>
          <cell r="AA131">
            <v>0</v>
          </cell>
          <cell r="AC131" t="str">
            <v>268 x 490 (10.6" x 19.3")</v>
          </cell>
          <cell r="AD131">
            <v>1</v>
          </cell>
          <cell r="AJ131">
            <v>21.6</v>
          </cell>
          <cell r="AK131">
            <v>0</v>
          </cell>
          <cell r="AL131">
            <v>0</v>
          </cell>
          <cell r="AM131">
            <v>0</v>
          </cell>
          <cell r="AN131">
            <v>0</v>
          </cell>
          <cell r="AO131">
            <v>1.08</v>
          </cell>
          <cell r="AP131">
            <v>0</v>
          </cell>
          <cell r="AQ131">
            <v>0</v>
          </cell>
          <cell r="AR131">
            <v>0</v>
          </cell>
          <cell r="AS131">
            <v>0</v>
          </cell>
          <cell r="AT131">
            <v>6</v>
          </cell>
          <cell r="AY131">
            <v>0.3</v>
          </cell>
          <cell r="BD131">
            <v>20495.744680800002</v>
          </cell>
          <cell r="BE131">
            <v>0</v>
          </cell>
          <cell r="BF131">
            <v>0</v>
          </cell>
          <cell r="BG131">
            <v>0</v>
          </cell>
          <cell r="BH131">
            <v>0</v>
          </cell>
          <cell r="BI131">
            <v>1024.7872340399999</v>
          </cell>
          <cell r="BJ131">
            <v>0</v>
          </cell>
          <cell r="BK131">
            <v>0</v>
          </cell>
          <cell r="BL131">
            <v>0</v>
          </cell>
          <cell r="BM131">
            <v>0</v>
          </cell>
          <cell r="BN131">
            <v>5.6376000000000008</v>
          </cell>
          <cell r="BO131">
            <v>0</v>
          </cell>
          <cell r="BP131">
            <v>0</v>
          </cell>
          <cell r="BQ131">
            <v>0</v>
          </cell>
          <cell r="BR131">
            <v>0</v>
          </cell>
          <cell r="BS131">
            <v>0.28188000000000002</v>
          </cell>
          <cell r="BT131">
            <v>0</v>
          </cell>
          <cell r="BU131">
            <v>0</v>
          </cell>
          <cell r="BV131">
            <v>0</v>
          </cell>
          <cell r="BW131">
            <v>0</v>
          </cell>
          <cell r="BX131" t="str">
            <v>可以</v>
          </cell>
          <cell r="CC131" t="str">
            <v>(1)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
(4) 單頭極炎火型號配備時間掣和6千瓦雙頭爐項，獨立芯火，最小火力0.3千瓦，滿足各式烹調需要。</v>
          </cell>
          <cell r="CE131" t="str">
            <v>兩枚D型1.5V</v>
          </cell>
          <cell r="CR131" t="str">
            <v>圓形五邊承托架</v>
          </cell>
          <cell r="CS131" t="str">
            <v>請按此處</v>
          </cell>
          <cell r="CT131" t="str">
            <v>請按此處</v>
          </cell>
          <cell r="CV131">
            <v>7.7</v>
          </cell>
          <cell r="CW131">
            <v>16.940000000000001</v>
          </cell>
          <cell r="CY131" t="str">
            <v>產單速遞 - 向下接頭</v>
          </cell>
          <cell r="DF131" t="str">
            <v>貨源正常</v>
          </cell>
          <cell r="DG131" t="str">
            <v>請按此處</v>
          </cell>
        </row>
        <row r="132">
          <cell r="A132" t="str">
            <v>rjb31cg</v>
          </cell>
          <cell r="B132" t="str">
            <v>現售</v>
          </cell>
          <cell r="E132" t="str">
            <v>TGC</v>
          </cell>
          <cell r="F132" t="str">
            <v>安裝兩部“Domino”嵌入式煮食爐以上，請按此處</v>
          </cell>
          <cell r="G132" t="str">
            <v>RJB31CG (BRL) - 橫向彎頭</v>
          </cell>
          <cell r="H132" t="str">
            <v>RTB1G - 橫向彎頭 / RTB04 向下接頭</v>
          </cell>
          <cell r="K132" t="str">
            <v>2019年12月16日</v>
          </cell>
          <cell r="M132" t="str">
            <v>日本</v>
          </cell>
          <cell r="N132">
            <v>11750</v>
          </cell>
          <cell r="O132" t="str">
            <v>請按此處</v>
          </cell>
          <cell r="P132">
            <v>54</v>
          </cell>
          <cell r="Q132">
            <v>2.1259842519685042</v>
          </cell>
          <cell r="R132">
            <v>66</v>
          </cell>
          <cell r="S132">
            <v>2.598425196850394</v>
          </cell>
          <cell r="T132">
            <v>106</v>
          </cell>
          <cell r="U132">
            <v>4.1732283464566935</v>
          </cell>
          <cell r="V132">
            <v>290</v>
          </cell>
          <cell r="W132">
            <v>11.41732283464567</v>
          </cell>
          <cell r="X132">
            <v>520</v>
          </cell>
          <cell r="Y132">
            <v>20.472440944881892</v>
          </cell>
          <cell r="AA132">
            <v>0</v>
          </cell>
          <cell r="AC132" t="str">
            <v>268 x 490 (10.6" x 19.3")</v>
          </cell>
          <cell r="AD132">
            <v>1</v>
          </cell>
          <cell r="AJ132">
            <v>7.74</v>
          </cell>
          <cell r="AK132">
            <v>0</v>
          </cell>
          <cell r="AL132">
            <v>0</v>
          </cell>
          <cell r="AM132">
            <v>0</v>
          </cell>
          <cell r="AN132">
            <v>0</v>
          </cell>
          <cell r="AO132">
            <v>3.24</v>
          </cell>
          <cell r="AP132">
            <v>0</v>
          </cell>
          <cell r="AQ132">
            <v>0</v>
          </cell>
          <cell r="AR132">
            <v>0</v>
          </cell>
          <cell r="AS132">
            <v>0</v>
          </cell>
          <cell r="AT132">
            <v>2.15</v>
          </cell>
          <cell r="AY132">
            <v>0.9</v>
          </cell>
          <cell r="BD132">
            <v>7344.3085106199997</v>
          </cell>
          <cell r="BE132">
            <v>0</v>
          </cell>
          <cell r="BF132">
            <v>0</v>
          </cell>
          <cell r="BG132">
            <v>0</v>
          </cell>
          <cell r="BH132">
            <v>0</v>
          </cell>
          <cell r="BI132">
            <v>3074.3617021200002</v>
          </cell>
          <cell r="BJ132">
            <v>0</v>
          </cell>
          <cell r="BK132">
            <v>0</v>
          </cell>
          <cell r="BL132">
            <v>0</v>
          </cell>
          <cell r="BM132">
            <v>0</v>
          </cell>
          <cell r="BN132">
            <v>2.02014</v>
          </cell>
          <cell r="BO132">
            <v>0</v>
          </cell>
          <cell r="BP132">
            <v>0</v>
          </cell>
          <cell r="BQ132">
            <v>0</v>
          </cell>
          <cell r="BR132">
            <v>0</v>
          </cell>
          <cell r="BS132">
            <v>0.84564000000000006</v>
          </cell>
          <cell r="BT132">
            <v>0</v>
          </cell>
          <cell r="BU132">
            <v>0</v>
          </cell>
          <cell r="BV132">
            <v>0</v>
          </cell>
          <cell r="BW132">
            <v>0</v>
          </cell>
          <cell r="BX132" t="str">
            <v>不可以</v>
          </cell>
          <cell r="CC132" t="str">
            <v xml:space="preserve">(1)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
(4) 獨有明火燒烤型號，配備精美鑄鐵烤皮，排走多餘油份，煮食效果卓越。 </v>
          </cell>
          <cell r="CE132" t="str">
            <v>一枚C型1.5V</v>
          </cell>
          <cell r="CR132" t="str">
            <v>燒烤板</v>
          </cell>
          <cell r="CS132" t="str">
            <v>請按此處</v>
          </cell>
          <cell r="CT132" t="str">
            <v>請按此處</v>
          </cell>
          <cell r="CV132">
            <v>7.3</v>
          </cell>
          <cell r="CW132">
            <v>16.060000000000002</v>
          </cell>
          <cell r="CY132" t="str">
            <v>產單速遞 - 向下接頭</v>
          </cell>
          <cell r="DF132" t="str">
            <v>貨源正常</v>
          </cell>
          <cell r="DG132" t="str">
            <v>請按此處</v>
          </cell>
        </row>
        <row r="133">
          <cell r="A133" t="str">
            <v>rjb32c</v>
          </cell>
          <cell r="B133" t="str">
            <v>現售</v>
          </cell>
          <cell r="E133" t="str">
            <v>TGC</v>
          </cell>
          <cell r="F133" t="str">
            <v>安裝兩部“Domino”嵌入式煮食爐以上，請按此處</v>
          </cell>
          <cell r="G133" t="str">
            <v>RJB32C (BRL) - 橫向彎頭</v>
          </cell>
          <cell r="H133" t="str">
            <v>RTB2C - 橫向彎頭 / RTB06 向下接頭</v>
          </cell>
          <cell r="K133" t="str">
            <v>2019年12月16日</v>
          </cell>
          <cell r="M133" t="str">
            <v>日本</v>
          </cell>
          <cell r="N133">
            <v>9350</v>
          </cell>
          <cell r="O133" t="str">
            <v>請按此處</v>
          </cell>
          <cell r="P133">
            <v>54</v>
          </cell>
          <cell r="Q133">
            <v>2.1259842519685042</v>
          </cell>
          <cell r="R133">
            <v>66</v>
          </cell>
          <cell r="S133">
            <v>2.598425196850394</v>
          </cell>
          <cell r="T133">
            <v>126</v>
          </cell>
          <cell r="U133">
            <v>4.9606299212598426</v>
          </cell>
          <cell r="V133">
            <v>290</v>
          </cell>
          <cell r="W133">
            <v>11.41732283464567</v>
          </cell>
          <cell r="X133">
            <v>520</v>
          </cell>
          <cell r="Y133">
            <v>20.472440944881892</v>
          </cell>
          <cell r="Z133">
            <v>180</v>
          </cell>
          <cell r="AA133">
            <v>7.0866141732283472</v>
          </cell>
          <cell r="AC133" t="str">
            <v>268 x 490 (10.6" x 19.3")</v>
          </cell>
          <cell r="AD133">
            <v>2</v>
          </cell>
          <cell r="AE133" t="str">
            <v>前</v>
          </cell>
          <cell r="AF133" t="str">
            <v>後</v>
          </cell>
          <cell r="AJ133">
            <v>6.12</v>
          </cell>
          <cell r="AK133">
            <v>10.08</v>
          </cell>
          <cell r="AL133">
            <v>0</v>
          </cell>
          <cell r="AM133">
            <v>0</v>
          </cell>
          <cell r="AN133">
            <v>0</v>
          </cell>
          <cell r="AO133">
            <v>0</v>
          </cell>
          <cell r="AP133">
            <v>0</v>
          </cell>
          <cell r="AQ133">
            <v>0</v>
          </cell>
          <cell r="AR133">
            <v>0</v>
          </cell>
          <cell r="AS133">
            <v>0</v>
          </cell>
          <cell r="AT133">
            <v>1.7</v>
          </cell>
          <cell r="AU133">
            <v>2.8</v>
          </cell>
          <cell r="BD133">
            <v>5807.1276595600002</v>
          </cell>
          <cell r="BE133">
            <v>9564.6808510399987</v>
          </cell>
          <cell r="BF133">
            <v>0</v>
          </cell>
          <cell r="BG133">
            <v>0</v>
          </cell>
          <cell r="BH133">
            <v>0</v>
          </cell>
          <cell r="BI133">
            <v>0</v>
          </cell>
          <cell r="BJ133">
            <v>0</v>
          </cell>
          <cell r="BK133">
            <v>0</v>
          </cell>
          <cell r="BL133">
            <v>0</v>
          </cell>
          <cell r="BM133">
            <v>0</v>
          </cell>
          <cell r="BN133">
            <v>1.5973200000000001</v>
          </cell>
          <cell r="BO133">
            <v>2.6308800000000003</v>
          </cell>
          <cell r="BP133">
            <v>0</v>
          </cell>
          <cell r="BQ133">
            <v>0</v>
          </cell>
          <cell r="BR133">
            <v>0</v>
          </cell>
          <cell r="BS133">
            <v>0</v>
          </cell>
          <cell r="BT133">
            <v>0</v>
          </cell>
          <cell r="BU133">
            <v>0</v>
          </cell>
          <cell r="BV133">
            <v>0</v>
          </cell>
          <cell r="BW133">
            <v>0</v>
          </cell>
          <cell r="BX133" t="str">
            <v>不可以</v>
          </cell>
          <cell r="BY133" t="str">
            <v>不可以</v>
          </cell>
          <cell r="CC133" t="str">
            <v>(1)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v>
          </cell>
          <cell r="CE133" t="str">
            <v>一枚C型1.5V</v>
          </cell>
          <cell r="CR133" t="str">
            <v>圓形五邊承托</v>
          </cell>
          <cell r="CS133" t="str">
            <v>請按此處</v>
          </cell>
          <cell r="CT133" t="str">
            <v>請按此處</v>
          </cell>
          <cell r="CV133">
            <v>7.2</v>
          </cell>
          <cell r="CW133">
            <v>15.840000000000002</v>
          </cell>
          <cell r="CY133" t="str">
            <v>產單速遞 - 向下接頭</v>
          </cell>
          <cell r="DF133" t="str">
            <v>貨源正常</v>
          </cell>
          <cell r="DG133" t="str">
            <v>請按此處</v>
          </cell>
        </row>
        <row r="134">
          <cell r="A134" t="str">
            <v>hzb31g</v>
          </cell>
          <cell r="B134" t="str">
            <v>停售</v>
          </cell>
          <cell r="D134" t="str">
            <v>Standard Drawing: WDE keyword: HZB31G</v>
          </cell>
          <cell r="E134" t="str">
            <v xml:space="preserve">Simpa </v>
          </cell>
          <cell r="F134" t="str">
            <v>HZB31G</v>
          </cell>
          <cell r="I134" t="str">
            <v>說明書</v>
          </cell>
          <cell r="K134" t="str">
            <v>2020年8月7日</v>
          </cell>
          <cell r="L134" t="str">
            <v>2025年8月22日</v>
          </cell>
          <cell r="M134" t="str">
            <v>中國</v>
          </cell>
          <cell r="N134" t="str">
            <v>已停售</v>
          </cell>
          <cell r="O134" t="str">
            <v>請按此處</v>
          </cell>
          <cell r="P134">
            <v>67</v>
          </cell>
          <cell r="Q134">
            <v>2.6377952755905514</v>
          </cell>
          <cell r="R134">
            <v>76</v>
          </cell>
          <cell r="S134">
            <v>2.9921259842519685</v>
          </cell>
          <cell r="T134">
            <v>135</v>
          </cell>
          <cell r="U134">
            <v>5.3149606299212602</v>
          </cell>
          <cell r="V134">
            <v>288</v>
          </cell>
          <cell r="W134">
            <v>11.338582677165356</v>
          </cell>
          <cell r="X134">
            <v>515</v>
          </cell>
          <cell r="Y134">
            <v>20.275590551181104</v>
          </cell>
          <cell r="AA134">
            <v>0</v>
          </cell>
          <cell r="AC134" t="str">
            <v>265 x 490 (10.4" x 19.3")</v>
          </cell>
          <cell r="AD134">
            <v>1</v>
          </cell>
          <cell r="AJ134">
            <v>18</v>
          </cell>
          <cell r="AK134">
            <v>0</v>
          </cell>
          <cell r="AL134">
            <v>0</v>
          </cell>
          <cell r="AM134">
            <v>0</v>
          </cell>
          <cell r="AN134">
            <v>0</v>
          </cell>
          <cell r="AO134">
            <v>1.8</v>
          </cell>
          <cell r="AP134">
            <v>0</v>
          </cell>
          <cell r="AQ134">
            <v>0</v>
          </cell>
          <cell r="AR134">
            <v>0</v>
          </cell>
          <cell r="AS134">
            <v>0</v>
          </cell>
          <cell r="AT134">
            <v>5</v>
          </cell>
          <cell r="AY134">
            <v>0.5</v>
          </cell>
          <cell r="BD134">
            <v>17079.787233999999</v>
          </cell>
          <cell r="BE134">
            <v>0</v>
          </cell>
          <cell r="BF134">
            <v>0</v>
          </cell>
          <cell r="BG134">
            <v>0</v>
          </cell>
          <cell r="BH134">
            <v>0</v>
          </cell>
          <cell r="BI134">
            <v>1707.9787234</v>
          </cell>
          <cell r="BJ134">
            <v>0</v>
          </cell>
          <cell r="BK134">
            <v>0</v>
          </cell>
          <cell r="BL134">
            <v>0</v>
          </cell>
          <cell r="BM134">
            <v>0</v>
          </cell>
          <cell r="BN134">
            <v>4.6980000000000004</v>
          </cell>
          <cell r="BO134">
            <v>0</v>
          </cell>
          <cell r="BP134">
            <v>0</v>
          </cell>
          <cell r="BQ134">
            <v>0</v>
          </cell>
          <cell r="BR134">
            <v>0</v>
          </cell>
          <cell r="BS134">
            <v>0.46980000000000005</v>
          </cell>
          <cell r="BT134">
            <v>0</v>
          </cell>
          <cell r="BU134">
            <v>0</v>
          </cell>
          <cell r="BV134">
            <v>0</v>
          </cell>
          <cell r="BW134">
            <v>0</v>
          </cell>
          <cell r="CC134" t="str">
            <v>(1) 耐高溫塗層銅合金製密封式爐頭，槽式火孔，對觀耐用，清理容易。
(2) 黑色搪瓷鑄鐵爐架，堅固穩妥。
(3) 快易電子點火
(4) 橫向氣體接頭。
(5) 後進風面板設計，開關廚櫃門不影響爐火穩定。</v>
          </cell>
          <cell r="CD134" t="str">
            <v>不適用</v>
          </cell>
          <cell r="CE134" t="str">
            <v>兩枚D型1.5V</v>
          </cell>
          <cell r="CG134" t="str">
            <v>強化玻璃
( 6毫米厚 )</v>
          </cell>
          <cell r="CH134" t="str">
            <v>旋鈕式</v>
          </cell>
          <cell r="CI134" t="str">
            <v>旋鈕式</v>
          </cell>
          <cell r="CJ134" t="str">
            <v>銅合金</v>
          </cell>
          <cell r="CR134" t="str">
            <v>圓形四邊承托</v>
          </cell>
          <cell r="CS134" t="str">
            <v>請按此處</v>
          </cell>
          <cell r="CT134" t="str">
            <v>請按此處</v>
          </cell>
          <cell r="CU134" t="str">
            <v>請按此處</v>
          </cell>
          <cell r="CV134">
            <v>8</v>
          </cell>
          <cell r="CW134">
            <v>17.600000000000001</v>
          </cell>
          <cell r="DF134"/>
        </row>
        <row r="135">
          <cell r="A135" t="str">
            <v>hzb32g</v>
          </cell>
          <cell r="B135" t="str">
            <v>停售</v>
          </cell>
          <cell r="E135" t="str">
            <v>Simpa</v>
          </cell>
          <cell r="F135" t="str">
            <v>HZB32G</v>
          </cell>
          <cell r="I135" t="str">
            <v>說明書</v>
          </cell>
          <cell r="L135" t="str">
            <v>2025年10月9日</v>
          </cell>
          <cell r="M135" t="str">
            <v>中國</v>
          </cell>
          <cell r="N135" t="str">
            <v>已停售</v>
          </cell>
          <cell r="O135" t="str">
            <v>請按此處</v>
          </cell>
          <cell r="P135">
            <v>67</v>
          </cell>
          <cell r="Q135">
            <v>2.6377952755905514</v>
          </cell>
          <cell r="R135">
            <v>76</v>
          </cell>
          <cell r="S135">
            <v>2.9921259842519685</v>
          </cell>
          <cell r="T135">
            <v>135</v>
          </cell>
          <cell r="U135">
            <v>5.3149606299212602</v>
          </cell>
          <cell r="V135">
            <v>288</v>
          </cell>
          <cell r="W135">
            <v>11.338582677165356</v>
          </cell>
          <cell r="X135">
            <v>515</v>
          </cell>
          <cell r="Y135">
            <v>20.275590551181104</v>
          </cell>
          <cell r="Z135">
            <v>190</v>
          </cell>
          <cell r="AA135">
            <v>7.4803149606299213</v>
          </cell>
          <cell r="AC135" t="str">
            <v>265 x 490 (10.4" x 19.3")</v>
          </cell>
          <cell r="AD135">
            <v>2</v>
          </cell>
          <cell r="AE135" t="str">
            <v>前</v>
          </cell>
          <cell r="AF135" t="str">
            <v>後</v>
          </cell>
          <cell r="AJ135">
            <v>4.6800000000000006</v>
          </cell>
          <cell r="AK135">
            <v>9</v>
          </cell>
          <cell r="AL135">
            <v>0</v>
          </cell>
          <cell r="AM135">
            <v>0</v>
          </cell>
          <cell r="AN135">
            <v>0</v>
          </cell>
          <cell r="AO135">
            <v>2.3400000000000003</v>
          </cell>
          <cell r="AP135">
            <v>4.5</v>
          </cell>
          <cell r="AQ135">
            <v>0</v>
          </cell>
          <cell r="AR135">
            <v>0</v>
          </cell>
          <cell r="AS135">
            <v>0</v>
          </cell>
          <cell r="AT135">
            <v>1.3</v>
          </cell>
          <cell r="AU135">
            <v>2.5</v>
          </cell>
          <cell r="AY135">
            <v>0.65</v>
          </cell>
          <cell r="AZ135">
            <v>1.25</v>
          </cell>
          <cell r="BD135">
            <v>4440.74468084</v>
          </cell>
          <cell r="BE135">
            <v>8539.8936169999997</v>
          </cell>
          <cell r="BF135">
            <v>0</v>
          </cell>
          <cell r="BG135">
            <v>0</v>
          </cell>
          <cell r="BH135">
            <v>0</v>
          </cell>
          <cell r="BI135">
            <v>2220.37234042</v>
          </cell>
          <cell r="BJ135">
            <v>4269.9468084999999</v>
          </cell>
          <cell r="BK135">
            <v>0</v>
          </cell>
          <cell r="BL135">
            <v>0</v>
          </cell>
          <cell r="BM135">
            <v>0</v>
          </cell>
          <cell r="BN135">
            <v>1.2214800000000001</v>
          </cell>
          <cell r="BO135">
            <v>2.3490000000000002</v>
          </cell>
          <cell r="BP135">
            <v>0</v>
          </cell>
          <cell r="BQ135">
            <v>0</v>
          </cell>
          <cell r="BR135">
            <v>0</v>
          </cell>
          <cell r="BS135">
            <v>0.61074000000000006</v>
          </cell>
          <cell r="BT135">
            <v>1.1745000000000001</v>
          </cell>
          <cell r="BU135">
            <v>0</v>
          </cell>
          <cell r="BV135">
            <v>0</v>
          </cell>
          <cell r="BW135">
            <v>0</v>
          </cell>
          <cell r="CC135" t="str">
            <v>(1) 耐高溫塗層銅合金製密封式爐頭，槽式火孔，對觀耐用，清理容易。
(2) 黑色搪瓷鑄鐵爐架，堅固穩妥。
(3) 快易電子點火。
(4) 橫向氣體接頭。
(5) 後進風面板設計，開關廚櫃門不影響爐火穩定。</v>
          </cell>
          <cell r="CD135" t="str">
            <v>不適用</v>
          </cell>
          <cell r="CE135" t="str">
            <v>兩枚D型1.5V</v>
          </cell>
          <cell r="CG135" t="str">
            <v>強化玻璃
( 6毫米厚 )</v>
          </cell>
          <cell r="CH135" t="str">
            <v>旋鈕式</v>
          </cell>
          <cell r="CI135" t="str">
            <v>旋鈕式</v>
          </cell>
          <cell r="CJ135" t="str">
            <v>銅合金</v>
          </cell>
          <cell r="CR135" t="str">
            <v>圓形四邊承托 x 2</v>
          </cell>
          <cell r="CS135" t="str">
            <v>請按此處</v>
          </cell>
          <cell r="CT135" t="str">
            <v>請按此處</v>
          </cell>
          <cell r="CU135" t="str">
            <v>請按此處</v>
          </cell>
          <cell r="CV135">
            <v>8</v>
          </cell>
          <cell r="CW135">
            <v>17.600000000000001</v>
          </cell>
          <cell r="DF135"/>
        </row>
        <row r="136">
          <cell r="A136" t="str">
            <v>hzb62gp_670</v>
          </cell>
          <cell r="B136" t="str">
            <v>停售</v>
          </cell>
          <cell r="D136" t="str">
            <v>Standard Drawing: WDE keyword: SIMPA_HZB62</v>
          </cell>
          <cell r="E136" t="str">
            <v xml:space="preserve">Simpa </v>
          </cell>
          <cell r="F136" t="str">
            <v>HZB62GP</v>
          </cell>
          <cell r="G136" t="str">
            <v xml:space="preserve"> </v>
          </cell>
          <cell r="I136" t="str">
            <v>說明書</v>
          </cell>
          <cell r="K136" t="str">
            <v>2020年8月19日</v>
          </cell>
          <cell r="L136" t="str">
            <v>2023年2月15日</v>
          </cell>
          <cell r="M136" t="str">
            <v>中國</v>
          </cell>
          <cell r="N136" t="str">
            <v>已停售</v>
          </cell>
          <cell r="O136" t="str">
            <v>請按此處</v>
          </cell>
          <cell r="P136">
            <v>58</v>
          </cell>
          <cell r="Q136">
            <v>2.2834645669291338</v>
          </cell>
          <cell r="R136">
            <v>74</v>
          </cell>
          <cell r="S136">
            <v>2.9133858267716537</v>
          </cell>
          <cell r="T136">
            <v>125</v>
          </cell>
          <cell r="U136">
            <v>4.9212598425196852</v>
          </cell>
          <cell r="V136">
            <v>760</v>
          </cell>
          <cell r="W136">
            <v>29.921259842519685</v>
          </cell>
          <cell r="X136">
            <v>450</v>
          </cell>
          <cell r="Y136">
            <v>17.716535433070867</v>
          </cell>
          <cell r="Z136">
            <v>435</v>
          </cell>
          <cell r="AA136">
            <v>17.125984251968504</v>
          </cell>
          <cell r="AC136" t="str">
            <v>670 x 350 (26.4" x 13.8")</v>
          </cell>
          <cell r="AD136">
            <v>2</v>
          </cell>
          <cell r="AE136" t="str">
            <v>左</v>
          </cell>
          <cell r="AF136" t="str">
            <v>右</v>
          </cell>
          <cell r="AJ136">
            <v>14.4</v>
          </cell>
          <cell r="AK136">
            <v>18</v>
          </cell>
          <cell r="AL136">
            <v>0</v>
          </cell>
          <cell r="AM136">
            <v>0</v>
          </cell>
          <cell r="AN136">
            <v>0</v>
          </cell>
          <cell r="AO136">
            <v>2.8800000000000003</v>
          </cell>
          <cell r="AP136">
            <v>1.8</v>
          </cell>
          <cell r="AQ136">
            <v>0</v>
          </cell>
          <cell r="AR136">
            <v>0</v>
          </cell>
          <cell r="AS136">
            <v>0</v>
          </cell>
          <cell r="AT136">
            <v>4</v>
          </cell>
          <cell r="AU136">
            <v>5</v>
          </cell>
          <cell r="AY136">
            <v>0.8</v>
          </cell>
          <cell r="AZ136">
            <v>0.5</v>
          </cell>
          <cell r="BD136">
            <v>13663.8297872</v>
          </cell>
          <cell r="BE136">
            <v>17079.787233999999</v>
          </cell>
          <cell r="BF136">
            <v>0</v>
          </cell>
          <cell r="BG136">
            <v>0</v>
          </cell>
          <cell r="BH136">
            <v>0</v>
          </cell>
          <cell r="BI136">
            <v>2732.7659574400004</v>
          </cell>
          <cell r="BJ136">
            <v>1707.9787234</v>
          </cell>
          <cell r="BK136">
            <v>0</v>
          </cell>
          <cell r="BL136">
            <v>0</v>
          </cell>
          <cell r="BM136">
            <v>0</v>
          </cell>
          <cell r="BN136">
            <v>3.7584000000000004</v>
          </cell>
          <cell r="BO136">
            <v>4.6980000000000004</v>
          </cell>
          <cell r="BP136">
            <v>0</v>
          </cell>
          <cell r="BQ136">
            <v>0</v>
          </cell>
          <cell r="BR136">
            <v>0</v>
          </cell>
          <cell r="BS136">
            <v>0.75168000000000013</v>
          </cell>
          <cell r="BT136">
            <v>0.46980000000000005</v>
          </cell>
          <cell r="BU136">
            <v>0</v>
          </cell>
          <cell r="BV136">
            <v>0</v>
          </cell>
          <cell r="BW136">
            <v>0</v>
          </cell>
          <cell r="BX136" t="str">
            <v>不可以</v>
          </cell>
          <cell r="BY136" t="str">
            <v>可以</v>
          </cell>
          <cell r="CC136" t="str">
            <v>(1) 5 千瓦雙環爐頭，獨立芯火，最低火力0.5千瓦，滿足各侙烹調要求。
(2) 4千瓦防乾燒爐頭，防止食燒焦或炸油著火，提升安全。
(3) 銅合金製爐頭，槽式火孔，表面加上耐高溫黑色塗層，美觀耐用，清理容易。
(4) 快點火系統，點火快捷。
(5) 商合670x350毫米和703x403毫米枱面開孔，橫向式氣體接頭，安裝靈活。</v>
          </cell>
          <cell r="CD136" t="str">
            <v>不適用</v>
          </cell>
          <cell r="CE136" t="str">
            <v>兩枚D型1.5V</v>
          </cell>
          <cell r="CG136" t="str">
            <v xml:space="preserve">強化玻璃
( 8毫米厚 ) </v>
          </cell>
          <cell r="CH136" t="str">
            <v>旋鈕式</v>
          </cell>
          <cell r="CI136" t="str">
            <v>旋鈕式</v>
          </cell>
          <cell r="CJ136" t="str">
            <v>銅合金</v>
          </cell>
          <cell r="CR136" t="str">
            <v xml:space="preserve">圓形五邊承托 x 2 </v>
          </cell>
          <cell r="CS136" t="str">
            <v>請按此處</v>
          </cell>
          <cell r="CT136" t="str">
            <v>請按此處</v>
          </cell>
          <cell r="CU136" t="str">
            <v>請按此處</v>
          </cell>
          <cell r="CV136">
            <v>15.8</v>
          </cell>
          <cell r="CW136">
            <v>34.760000000000005</v>
          </cell>
          <cell r="DF136"/>
        </row>
        <row r="137">
          <cell r="A137" t="str">
            <v>hzb62gp_703</v>
          </cell>
          <cell r="B137" t="str">
            <v>停售</v>
          </cell>
          <cell r="D137" t="str">
            <v>Standard Drawing: WDE keyword: SIMPA_HZB62</v>
          </cell>
          <cell r="E137" t="str">
            <v xml:space="preserve">Simpa </v>
          </cell>
          <cell r="F137" t="str">
            <v>HZB62GP</v>
          </cell>
          <cell r="G137" t="str">
            <v xml:space="preserve"> </v>
          </cell>
          <cell r="I137" t="str">
            <v>說明書</v>
          </cell>
          <cell r="K137" t="str">
            <v>2020年8月19日</v>
          </cell>
          <cell r="L137" t="str">
            <v>2023年2月15日</v>
          </cell>
          <cell r="M137" t="str">
            <v>中國</v>
          </cell>
          <cell r="N137" t="str">
            <v>已停售</v>
          </cell>
          <cell r="O137" t="str">
            <v>請按此處</v>
          </cell>
          <cell r="P137">
            <v>58</v>
          </cell>
          <cell r="Q137"/>
          <cell r="R137">
            <v>74</v>
          </cell>
          <cell r="S137">
            <v>2.9133858267716537</v>
          </cell>
          <cell r="T137">
            <v>125</v>
          </cell>
          <cell r="U137">
            <v>4.9212598425196852</v>
          </cell>
          <cell r="V137">
            <v>760</v>
          </cell>
          <cell r="W137">
            <v>29.921259842519685</v>
          </cell>
          <cell r="X137">
            <v>450</v>
          </cell>
          <cell r="Y137">
            <v>17.716535433070867</v>
          </cell>
          <cell r="Z137">
            <v>435</v>
          </cell>
          <cell r="AA137">
            <v>17.125984251968504</v>
          </cell>
          <cell r="AC137" t="str">
            <v>703 x 403 (27.7" x 15.9")</v>
          </cell>
          <cell r="AD137">
            <v>2</v>
          </cell>
          <cell r="AE137" t="str">
            <v>左</v>
          </cell>
          <cell r="AF137" t="str">
            <v>右</v>
          </cell>
          <cell r="AJ137">
            <v>14.4</v>
          </cell>
          <cell r="AK137">
            <v>18</v>
          </cell>
          <cell r="AL137">
            <v>0</v>
          </cell>
          <cell r="AM137">
            <v>0</v>
          </cell>
          <cell r="AN137">
            <v>0</v>
          </cell>
          <cell r="AO137">
            <v>2.8800000000000003</v>
          </cell>
          <cell r="AP137">
            <v>1.8</v>
          </cell>
          <cell r="AQ137">
            <v>0</v>
          </cell>
          <cell r="AR137">
            <v>0</v>
          </cell>
          <cell r="AS137">
            <v>0</v>
          </cell>
          <cell r="AT137">
            <v>4</v>
          </cell>
          <cell r="AU137">
            <v>5</v>
          </cell>
          <cell r="AY137">
            <v>0.8</v>
          </cell>
          <cell r="AZ137">
            <v>0.5</v>
          </cell>
          <cell r="BD137">
            <v>13663.8297872</v>
          </cell>
          <cell r="BE137">
            <v>17079.787233999999</v>
          </cell>
          <cell r="BF137"/>
          <cell r="BG137"/>
          <cell r="BH137"/>
          <cell r="BI137">
            <v>2732.7659574400004</v>
          </cell>
          <cell r="BJ137"/>
          <cell r="BK137"/>
          <cell r="BL137"/>
          <cell r="BM137"/>
          <cell r="BN137"/>
          <cell r="BO137"/>
          <cell r="BP137"/>
          <cell r="BQ137"/>
          <cell r="BR137"/>
          <cell r="BS137"/>
          <cell r="BT137"/>
          <cell r="BU137"/>
          <cell r="BV137"/>
          <cell r="BW137"/>
          <cell r="BX137" t="str">
            <v>不可以</v>
          </cell>
          <cell r="BY137" t="str">
            <v>可以</v>
          </cell>
          <cell r="CC137" t="str">
            <v>(1) 5 千瓦雙環爐頭，獨立芯火，最低火力0.5千瓦，滿足各侙烹調要求。
(2) 4千瓦防乾燒爐頭，防止食燒焦或炸油著火，提升安全。
(3) 銅合金製爐頭，槽式火孔，表面加上耐高溫黑色塗層，美觀耐用，清理容易。
(4) 快點火系統，點火快捷。
(5) 商合670x350毫米和703x403毫米枱面開孔，橫向式氣體接頭，安裝靈活。</v>
          </cell>
          <cell r="CD137" t="str">
            <v>不適用</v>
          </cell>
          <cell r="CE137" t="str">
            <v>兩枚D型1.5V</v>
          </cell>
          <cell r="CG137" t="str">
            <v xml:space="preserve">強化玻璃
( 8毫米厚 ) </v>
          </cell>
          <cell r="CH137" t="str">
            <v>旋鈕式</v>
          </cell>
          <cell r="CI137" t="str">
            <v>旋鈕式</v>
          </cell>
          <cell r="CJ137" t="str">
            <v>銅合金</v>
          </cell>
          <cell r="CR137" t="str">
            <v xml:space="preserve">圓形五邊承托 x 2 </v>
          </cell>
          <cell r="CS137" t="str">
            <v>請按此處</v>
          </cell>
          <cell r="CT137" t="str">
            <v>請按此處</v>
          </cell>
          <cell r="CU137" t="str">
            <v>請按此處</v>
          </cell>
          <cell r="CV137">
            <v>15.8</v>
          </cell>
          <cell r="CW137"/>
          <cell r="DF137"/>
        </row>
        <row r="138">
          <cell r="A138" t="str">
            <v>hzb62g_670</v>
          </cell>
          <cell r="B138" t="str">
            <v>停售</v>
          </cell>
          <cell r="E138" t="str">
            <v xml:space="preserve">Simpa </v>
          </cell>
          <cell r="F138" t="str">
            <v>HZB62G</v>
          </cell>
          <cell r="I138" t="str">
            <v>說明書</v>
          </cell>
          <cell r="K138" t="str">
            <v>2020年8月19日</v>
          </cell>
          <cell r="L138" t="str">
            <v>2023年8月21日</v>
          </cell>
          <cell r="M138" t="str">
            <v>中國</v>
          </cell>
          <cell r="N138" t="str">
            <v>已停售</v>
          </cell>
          <cell r="O138" t="str">
            <v>請按此處</v>
          </cell>
          <cell r="P138">
            <v>58</v>
          </cell>
          <cell r="Q138">
            <v>2.2834645669291338</v>
          </cell>
          <cell r="R138">
            <v>74</v>
          </cell>
          <cell r="S138">
            <v>2.9133858267716537</v>
          </cell>
          <cell r="T138">
            <v>125</v>
          </cell>
          <cell r="U138">
            <v>4.9212598425196852</v>
          </cell>
          <cell r="V138">
            <v>760</v>
          </cell>
          <cell r="W138">
            <v>29.921259842519685</v>
          </cell>
          <cell r="X138">
            <v>450</v>
          </cell>
          <cell r="Y138">
            <v>17.716535433070867</v>
          </cell>
          <cell r="AA138">
            <v>0</v>
          </cell>
          <cell r="AC138" t="str">
            <v>670 x 350 (26.4" x 13.8")</v>
          </cell>
          <cell r="AD138">
            <v>2</v>
          </cell>
          <cell r="AE138" t="str">
            <v>左</v>
          </cell>
          <cell r="AF138" t="str">
            <v>右</v>
          </cell>
          <cell r="AJ138">
            <v>18</v>
          </cell>
          <cell r="AK138">
            <v>18</v>
          </cell>
          <cell r="AL138">
            <v>0</v>
          </cell>
          <cell r="AM138">
            <v>0</v>
          </cell>
          <cell r="AN138">
            <v>0</v>
          </cell>
          <cell r="AO138">
            <v>1.8</v>
          </cell>
          <cell r="AP138">
            <v>1.8</v>
          </cell>
          <cell r="AQ138">
            <v>0</v>
          </cell>
          <cell r="AR138">
            <v>0</v>
          </cell>
          <cell r="AS138">
            <v>0</v>
          </cell>
          <cell r="AT138">
            <v>5</v>
          </cell>
          <cell r="AU138">
            <v>5</v>
          </cell>
          <cell r="AY138">
            <v>0.5</v>
          </cell>
          <cell r="AZ138">
            <v>0.5</v>
          </cell>
          <cell r="BD138">
            <v>17079.787233999999</v>
          </cell>
          <cell r="BE138">
            <v>17079.787233999999</v>
          </cell>
          <cell r="BF138">
            <v>0</v>
          </cell>
          <cell r="BG138">
            <v>0</v>
          </cell>
          <cell r="BH138">
            <v>0</v>
          </cell>
          <cell r="BI138">
            <v>1707.9787234</v>
          </cell>
          <cell r="BJ138">
            <v>1707.9787234</v>
          </cell>
          <cell r="BK138">
            <v>0</v>
          </cell>
          <cell r="BL138">
            <v>0</v>
          </cell>
          <cell r="BM138">
            <v>0</v>
          </cell>
          <cell r="BN138">
            <v>4.6980000000000004</v>
          </cell>
          <cell r="BO138">
            <v>4.6980000000000004</v>
          </cell>
          <cell r="BP138">
            <v>0</v>
          </cell>
          <cell r="BQ138">
            <v>0</v>
          </cell>
          <cell r="BR138">
            <v>0</v>
          </cell>
          <cell r="BS138">
            <v>0.46980000000000005</v>
          </cell>
          <cell r="BT138">
            <v>0.46980000000000005</v>
          </cell>
          <cell r="BU138">
            <v>0</v>
          </cell>
          <cell r="BV138">
            <v>0</v>
          </cell>
          <cell r="BW138">
            <v>0</v>
          </cell>
          <cell r="BX138" t="str">
            <v>可以</v>
          </cell>
          <cell r="BY138" t="str">
            <v>可以</v>
          </cell>
          <cell r="CC138" t="str">
            <v>(1) 5 千瓦雙環爐頭，獨立芯火，最低火力0.5千瓦，滿足各侙烹調要求。
(2) 銅合金製爐頭，槽式火孔，表面加上耐高溫黑色塗層，美觀耐用，清理容易。
(3) 快點火系統，點火快捷。
(4) 商合670x350毫米和703x403毫米枱面開孔，橫向式氣體接頭，安裝靈活。</v>
          </cell>
          <cell r="CD138" t="str">
            <v>不適用</v>
          </cell>
          <cell r="CE138" t="str">
            <v>兩枚D型1.5V</v>
          </cell>
          <cell r="CG138" t="str">
            <v xml:space="preserve">強化玻璃
( 8毫米厚 ) </v>
          </cell>
          <cell r="CH138" t="str">
            <v>旋鈕式</v>
          </cell>
          <cell r="CI138" t="str">
            <v>旋鈕式</v>
          </cell>
          <cell r="CJ138" t="str">
            <v>銅合金</v>
          </cell>
          <cell r="CR138" t="str">
            <v xml:space="preserve">圓形五邊承托 x 2 </v>
          </cell>
          <cell r="CS138" t="str">
            <v>請按此處</v>
          </cell>
          <cell r="CT138" t="str">
            <v>請按此處</v>
          </cell>
          <cell r="CU138" t="str">
            <v>請按此處</v>
          </cell>
          <cell r="CV138">
            <v>16.5</v>
          </cell>
          <cell r="CW138">
            <v>36.300000000000004</v>
          </cell>
          <cell r="DF138"/>
        </row>
        <row r="139">
          <cell r="A139" t="str">
            <v>hzb62g_703</v>
          </cell>
          <cell r="B139" t="str">
            <v>停售</v>
          </cell>
          <cell r="E139" t="str">
            <v xml:space="preserve">Simpa </v>
          </cell>
          <cell r="F139" t="str">
            <v>HZB62G</v>
          </cell>
          <cell r="I139" t="str">
            <v>說明書</v>
          </cell>
          <cell r="K139" t="str">
            <v>2020年8月19日</v>
          </cell>
          <cell r="L139" t="str">
            <v>2023年8月21日</v>
          </cell>
          <cell r="M139" t="str">
            <v>中國</v>
          </cell>
          <cell r="N139" t="str">
            <v>已停售</v>
          </cell>
          <cell r="O139" t="str">
            <v>請按此處</v>
          </cell>
          <cell r="P139">
            <v>58</v>
          </cell>
          <cell r="Q139"/>
          <cell r="R139">
            <v>74</v>
          </cell>
          <cell r="S139">
            <v>2.9133858267716537</v>
          </cell>
          <cell r="T139">
            <v>125</v>
          </cell>
          <cell r="U139">
            <v>4.9212598425196852</v>
          </cell>
          <cell r="V139">
            <v>760</v>
          </cell>
          <cell r="W139">
            <v>29.921259842519685</v>
          </cell>
          <cell r="X139">
            <v>450</v>
          </cell>
          <cell r="Y139">
            <v>17.716535433070867</v>
          </cell>
          <cell r="AA139">
            <v>0</v>
          </cell>
          <cell r="AC139" t="str">
            <v>703 x 403 (27.7" x 15.9")</v>
          </cell>
          <cell r="AD139">
            <v>2</v>
          </cell>
          <cell r="AE139" t="str">
            <v>左</v>
          </cell>
          <cell r="AF139" t="str">
            <v>右</v>
          </cell>
          <cell r="AJ139">
            <v>18</v>
          </cell>
          <cell r="AK139">
            <v>18</v>
          </cell>
          <cell r="AL139"/>
          <cell r="AM139"/>
          <cell r="AN139"/>
          <cell r="AO139">
            <v>1.8</v>
          </cell>
          <cell r="AP139">
            <v>1.8</v>
          </cell>
          <cell r="AQ139"/>
          <cell r="AR139"/>
          <cell r="AS139"/>
          <cell r="AT139">
            <v>5</v>
          </cell>
          <cell r="AU139">
            <v>5</v>
          </cell>
          <cell r="AY139">
            <v>0.5</v>
          </cell>
          <cell r="AZ139">
            <v>0.5</v>
          </cell>
          <cell r="BD139">
            <v>17079.787233999999</v>
          </cell>
          <cell r="BE139">
            <v>17079.787233999999</v>
          </cell>
          <cell r="BF139"/>
          <cell r="BG139"/>
          <cell r="BH139"/>
          <cell r="BI139">
            <v>1707.9787234</v>
          </cell>
          <cell r="BJ139">
            <v>1707.9787234</v>
          </cell>
          <cell r="BK139"/>
          <cell r="BL139"/>
          <cell r="BM139"/>
          <cell r="BN139"/>
          <cell r="BO139"/>
          <cell r="BP139"/>
          <cell r="BQ139"/>
          <cell r="BR139"/>
          <cell r="BS139"/>
          <cell r="BT139"/>
          <cell r="BU139"/>
          <cell r="BV139"/>
          <cell r="BW139"/>
          <cell r="BX139" t="str">
            <v>可以</v>
          </cell>
          <cell r="BY139" t="str">
            <v>可以</v>
          </cell>
          <cell r="CC139" t="str">
            <v>(1) 5 千瓦雙環爐頭，獨立芯火，最低火力0.5千瓦，滿足各侙烹調要求。
(2) 銅合金製爐頭，槽式火孔，表面加上耐高溫黑色塗層，美觀耐用，清理容易。
(3) 快點火系統，點火快捷。
(4) 商合670x350毫米和703x403毫米枱面開孔，橫向式氣體接頭，安裝靈活。</v>
          </cell>
          <cell r="CD139" t="str">
            <v>不適用</v>
          </cell>
          <cell r="CE139" t="str">
            <v>兩枚D型1.5V</v>
          </cell>
          <cell r="CG139" t="str">
            <v xml:space="preserve">強化玻璃
( 8毫米厚 ) </v>
          </cell>
          <cell r="CH139" t="str">
            <v>旋鈕式</v>
          </cell>
          <cell r="CI139" t="str">
            <v>旋鈕式</v>
          </cell>
          <cell r="CJ139" t="str">
            <v>銅合金</v>
          </cell>
          <cell r="CR139" t="str">
            <v xml:space="preserve">圓形五邊承托 x 2 </v>
          </cell>
          <cell r="CS139" t="str">
            <v>請按此處</v>
          </cell>
          <cell r="CT139" t="str">
            <v>請按此處</v>
          </cell>
          <cell r="CU139" t="str">
            <v>請按此處</v>
          </cell>
          <cell r="CV139">
            <v>16.5</v>
          </cell>
          <cell r="CW139"/>
          <cell r="DF139"/>
        </row>
        <row r="140">
          <cell r="A140" t="str">
            <v>hzb62m_670</v>
          </cell>
          <cell r="B140" t="str">
            <v>停售</v>
          </cell>
          <cell r="E140" t="str">
            <v xml:space="preserve">Simpa </v>
          </cell>
          <cell r="F140" t="str">
            <v>HZB62M</v>
          </cell>
          <cell r="I140" t="str">
            <v>說明書</v>
          </cell>
          <cell r="K140" t="str">
            <v>2020年8月7日</v>
          </cell>
          <cell r="L140" t="str">
            <v>2025年7月30日</v>
          </cell>
          <cell r="M140" t="str">
            <v>中國</v>
          </cell>
          <cell r="N140" t="str">
            <v>已停售</v>
          </cell>
          <cell r="O140" t="str">
            <v>請按此處</v>
          </cell>
          <cell r="P140">
            <v>55</v>
          </cell>
          <cell r="Q140">
            <v>2.1653543307086616</v>
          </cell>
          <cell r="R140">
            <v>66</v>
          </cell>
          <cell r="S140">
            <v>2.598425196850394</v>
          </cell>
          <cell r="T140">
            <v>125</v>
          </cell>
          <cell r="U140">
            <v>4.9212598425196852</v>
          </cell>
          <cell r="V140">
            <v>730</v>
          </cell>
          <cell r="W140">
            <v>28.740157480314963</v>
          </cell>
          <cell r="X140">
            <v>420</v>
          </cell>
          <cell r="Y140">
            <v>16.535433070866144</v>
          </cell>
          <cell r="AA140">
            <v>0</v>
          </cell>
          <cell r="AC140" t="str">
            <v>670 x 350 (26.4" x 13.8")</v>
          </cell>
          <cell r="AD140">
            <v>2</v>
          </cell>
          <cell r="AE140" t="str">
            <v>左</v>
          </cell>
          <cell r="AF140" t="str">
            <v>右</v>
          </cell>
          <cell r="AJ140">
            <v>18</v>
          </cell>
          <cell r="AK140">
            <v>18</v>
          </cell>
          <cell r="AL140">
            <v>0</v>
          </cell>
          <cell r="AM140">
            <v>0</v>
          </cell>
          <cell r="AN140">
            <v>0</v>
          </cell>
          <cell r="AO140">
            <v>1.8</v>
          </cell>
          <cell r="AP140">
            <v>1.8</v>
          </cell>
          <cell r="AQ140">
            <v>0</v>
          </cell>
          <cell r="AR140">
            <v>0</v>
          </cell>
          <cell r="AS140">
            <v>0</v>
          </cell>
          <cell r="AT140">
            <v>5</v>
          </cell>
          <cell r="AU140">
            <v>5</v>
          </cell>
          <cell r="AY140">
            <v>0.5</v>
          </cell>
          <cell r="AZ140">
            <v>0.5</v>
          </cell>
          <cell r="BD140">
            <v>17079.787233999999</v>
          </cell>
          <cell r="BE140">
            <v>17079.787233999999</v>
          </cell>
          <cell r="BF140">
            <v>0</v>
          </cell>
          <cell r="BG140">
            <v>0</v>
          </cell>
          <cell r="BH140">
            <v>0</v>
          </cell>
          <cell r="BI140">
            <v>1707.9787234</v>
          </cell>
          <cell r="BJ140">
            <v>1707.9787234</v>
          </cell>
          <cell r="BK140">
            <v>0</v>
          </cell>
          <cell r="BL140">
            <v>0</v>
          </cell>
          <cell r="BM140">
            <v>0</v>
          </cell>
          <cell r="BN140">
            <v>4.6980000000000004</v>
          </cell>
          <cell r="BO140">
            <v>4.6980000000000004</v>
          </cell>
          <cell r="BP140">
            <v>0</v>
          </cell>
          <cell r="BQ140">
            <v>0</v>
          </cell>
          <cell r="BR140">
            <v>0</v>
          </cell>
          <cell r="BS140">
            <v>0.46980000000000005</v>
          </cell>
          <cell r="BT140">
            <v>0.46980000000000005</v>
          </cell>
          <cell r="BU140">
            <v>0</v>
          </cell>
          <cell r="BV140">
            <v>0</v>
          </cell>
          <cell r="BW140">
            <v>0</v>
          </cell>
          <cell r="BX140" t="str">
            <v>可以</v>
          </cell>
          <cell r="BY140" t="str">
            <v>可以</v>
          </cell>
          <cell r="CC140" t="str">
            <v>(1) 5 千瓦雙環爐頭，獨立芯火，最低火力0.5千瓦，滿足各侙烹調要求。
(2) 銅合金製爐頭，槽式火孔，表面加上耐高溫黑色塗層，美觀耐用，清理容易。
(3) 快點火系統，點火快捷。
(4) 商合670x350毫米和703x403毫米枱面開孔，橫向式氣體接頭，安裝靈活。</v>
          </cell>
          <cell r="CD140" t="str">
            <v>不適用</v>
          </cell>
          <cell r="CE140" t="str">
            <v>一枚D型1.5V</v>
          </cell>
          <cell r="CG140" t="str">
            <v>黑色不鏽鋼 
( 8毫米厚 )</v>
          </cell>
          <cell r="CH140" t="str">
            <v>旋鈕式</v>
          </cell>
          <cell r="CI140" t="str">
            <v>旋鈕式</v>
          </cell>
          <cell r="CJ140" t="str">
            <v>銅合金</v>
          </cell>
          <cell r="CR140" t="str">
            <v xml:space="preserve">圓形五邊承托 x 2 </v>
          </cell>
          <cell r="CS140" t="str">
            <v>請按此處</v>
          </cell>
          <cell r="CT140" t="str">
            <v>請按此處</v>
          </cell>
          <cell r="CU140" t="str">
            <v>請按此處</v>
          </cell>
          <cell r="CV140">
            <v>12.2</v>
          </cell>
          <cell r="CW140">
            <v>26.84</v>
          </cell>
          <cell r="CX140" t="str">
            <v>The top panel material is made of stainless steel, and the surface is coated with a colored protective layer.
When scratched, the original color of stainless steel can be seen. 
(Per Mr Marco Sun-Residential Product Section,Updated 25/3/21)
清潔爐面：使用一般洗潔精+毛巾+暖水是沒有問題的，但是不可以使用"潔而亮"的清潔劑(有化學成份)+百潔布清洗。
HZB62M is made of “304不銹鋼”</v>
          </cell>
          <cell r="DF140"/>
        </row>
        <row r="141">
          <cell r="A141" t="str">
            <v>hzb62m_703</v>
          </cell>
          <cell r="B141" t="str">
            <v>停售</v>
          </cell>
          <cell r="E141" t="str">
            <v xml:space="preserve">Simpa </v>
          </cell>
          <cell r="F141" t="str">
            <v>HZB62M</v>
          </cell>
          <cell r="I141" t="str">
            <v>說明書</v>
          </cell>
          <cell r="K141" t="str">
            <v>2020年8月7日</v>
          </cell>
          <cell r="L141" t="str">
            <v>2025年7月30日</v>
          </cell>
          <cell r="M141" t="str">
            <v>中國</v>
          </cell>
          <cell r="N141" t="str">
            <v>已停售</v>
          </cell>
          <cell r="O141" t="str">
            <v>請按此處</v>
          </cell>
          <cell r="P141">
            <v>55</v>
          </cell>
          <cell r="Q141">
            <v>2.1653543307086616</v>
          </cell>
          <cell r="R141">
            <v>66</v>
          </cell>
          <cell r="S141">
            <v>2.598425196850394</v>
          </cell>
          <cell r="T141">
            <v>125</v>
          </cell>
          <cell r="U141">
            <v>4.9212598425196852</v>
          </cell>
          <cell r="V141">
            <v>730</v>
          </cell>
          <cell r="W141">
            <v>28.740157480314963</v>
          </cell>
          <cell r="X141">
            <v>420</v>
          </cell>
          <cell r="Y141">
            <v>16.535433070866144</v>
          </cell>
          <cell r="AA141">
            <v>0</v>
          </cell>
          <cell r="AC141" t="str">
            <v>703 x 403 (27.7" x 15.9")</v>
          </cell>
          <cell r="AD141">
            <v>2</v>
          </cell>
          <cell r="AE141" t="str">
            <v>左</v>
          </cell>
          <cell r="AF141" t="str">
            <v>右</v>
          </cell>
          <cell r="AJ141">
            <v>18</v>
          </cell>
          <cell r="AK141">
            <v>18</v>
          </cell>
          <cell r="AL141">
            <v>0</v>
          </cell>
          <cell r="AM141">
            <v>0</v>
          </cell>
          <cell r="AN141">
            <v>0</v>
          </cell>
          <cell r="AO141">
            <v>1.8</v>
          </cell>
          <cell r="AP141">
            <v>1.8</v>
          </cell>
          <cell r="AQ141">
            <v>0</v>
          </cell>
          <cell r="AR141">
            <v>0</v>
          </cell>
          <cell r="AS141">
            <v>0</v>
          </cell>
          <cell r="AT141">
            <v>5</v>
          </cell>
          <cell r="AU141">
            <v>5</v>
          </cell>
          <cell r="AY141">
            <v>0.5</v>
          </cell>
          <cell r="AZ141">
            <v>0.5</v>
          </cell>
          <cell r="BD141">
            <v>17079.787233999999</v>
          </cell>
          <cell r="BE141">
            <v>17079.787233999999</v>
          </cell>
          <cell r="BF141">
            <v>0</v>
          </cell>
          <cell r="BG141">
            <v>0</v>
          </cell>
          <cell r="BH141">
            <v>0</v>
          </cell>
          <cell r="BI141">
            <v>1707.9787234</v>
          </cell>
          <cell r="BJ141">
            <v>1707.9787234</v>
          </cell>
          <cell r="BK141">
            <v>0</v>
          </cell>
          <cell r="BL141">
            <v>0</v>
          </cell>
          <cell r="BM141">
            <v>0</v>
          </cell>
          <cell r="BN141">
            <v>4.6980000000000004</v>
          </cell>
          <cell r="BO141">
            <v>4.6980000000000004</v>
          </cell>
          <cell r="BP141">
            <v>0</v>
          </cell>
          <cell r="BQ141">
            <v>0</v>
          </cell>
          <cell r="BR141">
            <v>0</v>
          </cell>
          <cell r="BS141">
            <v>0.46980000000000005</v>
          </cell>
          <cell r="BT141">
            <v>0.46980000000000005</v>
          </cell>
          <cell r="BU141">
            <v>0</v>
          </cell>
          <cell r="BV141">
            <v>0</v>
          </cell>
          <cell r="BW141">
            <v>0</v>
          </cell>
          <cell r="BX141" t="str">
            <v>可以</v>
          </cell>
          <cell r="BY141" t="str">
            <v>可以</v>
          </cell>
          <cell r="CC141" t="str">
            <v>(1) 5 千瓦雙環爐頭，獨立芯火，最低火力0.5千瓦，滿足各侙烹調要求。
(2) 銅合金製爐頭，槽式火孔，表面加上耐高溫黑色塗層，美觀耐用，清理容易。
(3) 快點火系統，點火快捷。
(4) 商合670x350毫米和703x403毫米枱面開孔，橫向式氣體接頭，安裝靈活。</v>
          </cell>
          <cell r="CD141" t="str">
            <v>不適用</v>
          </cell>
          <cell r="CE141" t="str">
            <v>一枚D型1.5V</v>
          </cell>
          <cell r="CG141" t="str">
            <v>黑色不鏽鋼 
( 8毫米厚 )</v>
          </cell>
          <cell r="CH141" t="str">
            <v>旋鈕式</v>
          </cell>
          <cell r="CI141" t="str">
            <v>旋鈕式</v>
          </cell>
          <cell r="CJ141" t="str">
            <v>銅合金</v>
          </cell>
          <cell r="CR141" t="str">
            <v xml:space="preserve">圓形五邊承托 x 2 </v>
          </cell>
          <cell r="CS141" t="str">
            <v>請按此處</v>
          </cell>
          <cell r="CT141" t="str">
            <v>請按此處</v>
          </cell>
          <cell r="CU141" t="str">
            <v>請按此處</v>
          </cell>
          <cell r="CV141">
            <v>12.2</v>
          </cell>
          <cell r="CW141">
            <v>26.84</v>
          </cell>
          <cell r="CX141" t="str">
            <v>The top panel material is made of stainless steel, and the surface is coated with a colored protective layer.
When scratched, the original color of stainless steel can be seen. 
(Per Mr Marco Sun-Residential Product Section,Updated 25/3/21)
清潔爐面：使用一般洗潔精+毛巾+暖水是沒有問題的，但是不可以使用"潔而亮"的清潔劑(有化學成份)+百潔布清洗。</v>
          </cell>
          <cell r="DF141"/>
        </row>
        <row r="142">
          <cell r="A142" t="str">
            <v>rjb31ct_br</v>
          </cell>
          <cell r="B142" t="str">
            <v>現售</v>
          </cell>
          <cell r="E142" t="str">
            <v>TGC</v>
          </cell>
          <cell r="F142" t="str">
            <v>安裝兩部“Domino”嵌入式煮食爐以上，請按此處</v>
          </cell>
          <cell r="G142" t="str">
            <v>RJB31CT (BR) - 向下接頭</v>
          </cell>
          <cell r="H142" t="str">
            <v>RTB1C</v>
          </cell>
          <cell r="K142" t="str">
            <v>2019年12月16日</v>
          </cell>
          <cell r="M142" t="str">
            <v>日本</v>
          </cell>
          <cell r="N142">
            <v>10550</v>
          </cell>
          <cell r="O142" t="str">
            <v>請按此處</v>
          </cell>
          <cell r="P142">
            <v>54</v>
          </cell>
          <cell r="Q142">
            <v>2.1259842519685042</v>
          </cell>
          <cell r="R142">
            <v>66</v>
          </cell>
          <cell r="S142">
            <v>2.598425196850394</v>
          </cell>
          <cell r="T142">
            <v>124</v>
          </cell>
          <cell r="U142">
            <v>4.8818897637795278</v>
          </cell>
          <cell r="V142">
            <v>290</v>
          </cell>
          <cell r="W142">
            <v>11.41732283464567</v>
          </cell>
          <cell r="X142">
            <v>520</v>
          </cell>
          <cell r="Y142">
            <v>20.472440944881892</v>
          </cell>
          <cell r="AA142">
            <v>0</v>
          </cell>
          <cell r="AC142" t="str">
            <v>268 x 490 (10.6" x 19.3")</v>
          </cell>
          <cell r="AD142">
            <v>1</v>
          </cell>
          <cell r="AJ142">
            <v>21.6</v>
          </cell>
          <cell r="AK142">
            <v>0</v>
          </cell>
          <cell r="AL142">
            <v>0</v>
          </cell>
          <cell r="AM142">
            <v>0</v>
          </cell>
          <cell r="AN142">
            <v>0</v>
          </cell>
          <cell r="AO142">
            <v>1.08</v>
          </cell>
          <cell r="AP142">
            <v>0</v>
          </cell>
          <cell r="AQ142">
            <v>0</v>
          </cell>
          <cell r="AR142">
            <v>0</v>
          </cell>
          <cell r="AS142">
            <v>0</v>
          </cell>
          <cell r="AT142">
            <v>6</v>
          </cell>
          <cell r="AY142">
            <v>0.3</v>
          </cell>
          <cell r="BD142">
            <v>20495.744680800002</v>
          </cell>
          <cell r="BE142">
            <v>0</v>
          </cell>
          <cell r="BF142">
            <v>0</v>
          </cell>
          <cell r="BG142">
            <v>0</v>
          </cell>
          <cell r="BH142">
            <v>0</v>
          </cell>
          <cell r="BI142">
            <v>1024.7872340399999</v>
          </cell>
          <cell r="BJ142">
            <v>0</v>
          </cell>
          <cell r="BK142">
            <v>0</v>
          </cell>
          <cell r="BL142">
            <v>0</v>
          </cell>
          <cell r="BM142">
            <v>0</v>
          </cell>
          <cell r="BN142">
            <v>5.6376000000000008</v>
          </cell>
          <cell r="BO142">
            <v>0</v>
          </cell>
          <cell r="BP142">
            <v>0</v>
          </cell>
          <cell r="BQ142">
            <v>0</v>
          </cell>
          <cell r="BR142">
            <v>0</v>
          </cell>
          <cell r="BS142">
            <v>0.28188000000000002</v>
          </cell>
          <cell r="BT142">
            <v>0</v>
          </cell>
          <cell r="BU142">
            <v>0</v>
          </cell>
          <cell r="BV142">
            <v>0</v>
          </cell>
          <cell r="BW142">
            <v>0</v>
          </cell>
          <cell r="BX142" t="str">
            <v>可以</v>
          </cell>
          <cell r="CC142" t="str">
            <v>(1)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
(4) 單頭極炎火型號配備時間掣和6千瓦雙頭爐項，獨立芯火，最小火力0.3千瓦，滿足各式烹調需要。</v>
          </cell>
          <cell r="CE142" t="str">
            <v>兩枚D型1.5V</v>
          </cell>
          <cell r="CH142" t="str">
            <v>旋鈕式</v>
          </cell>
          <cell r="CI142" t="str">
            <v>旋鈕式</v>
          </cell>
          <cell r="CR142" t="str">
            <v>圓形五邊承托架</v>
          </cell>
          <cell r="CS142" t="str">
            <v>請按此處</v>
          </cell>
          <cell r="CT142" t="str">
            <v>請按此處</v>
          </cell>
          <cell r="CV142">
            <v>7.7</v>
          </cell>
          <cell r="CW142">
            <v>16.940000000000001</v>
          </cell>
          <cell r="DF142" t="e">
            <v>#N/A</v>
          </cell>
          <cell r="DG142" t="str">
            <v>請按此處</v>
          </cell>
        </row>
        <row r="143">
          <cell r="A143" t="str">
            <v>rjb31cg)_br</v>
          </cell>
          <cell r="B143" t="str">
            <v>現售</v>
          </cell>
          <cell r="E143" t="str">
            <v>TGC</v>
          </cell>
          <cell r="F143" t="str">
            <v>安裝兩部“Domino”嵌入式煮食爐以上，請按此處</v>
          </cell>
          <cell r="G143" t="str">
            <v>RJB31CG (BR) - 向下接頭</v>
          </cell>
          <cell r="H143" t="str">
            <v>RTB1G</v>
          </cell>
          <cell r="K143" t="str">
            <v>2019年12月16日</v>
          </cell>
          <cell r="M143" t="str">
            <v>日本</v>
          </cell>
          <cell r="N143">
            <v>11550</v>
          </cell>
          <cell r="O143" t="str">
            <v>請按此處</v>
          </cell>
          <cell r="P143">
            <v>54</v>
          </cell>
          <cell r="Q143">
            <v>2.1259842519685042</v>
          </cell>
          <cell r="R143">
            <v>66</v>
          </cell>
          <cell r="S143">
            <v>2.598425196850394</v>
          </cell>
          <cell r="T143">
            <v>106</v>
          </cell>
          <cell r="U143">
            <v>4.1732283464566935</v>
          </cell>
          <cell r="V143">
            <v>290</v>
          </cell>
          <cell r="W143">
            <v>11.41732283464567</v>
          </cell>
          <cell r="X143">
            <v>520</v>
          </cell>
          <cell r="Y143">
            <v>20.472440944881892</v>
          </cell>
          <cell r="AA143">
            <v>0</v>
          </cell>
          <cell r="AC143" t="str">
            <v>268 x 490 (10.6" x 19.3")</v>
          </cell>
          <cell r="AD143">
            <v>1</v>
          </cell>
          <cell r="AJ143">
            <v>7.74</v>
          </cell>
          <cell r="AK143">
            <v>0</v>
          </cell>
          <cell r="AL143">
            <v>0</v>
          </cell>
          <cell r="AM143">
            <v>0</v>
          </cell>
          <cell r="AN143">
            <v>0</v>
          </cell>
          <cell r="AO143">
            <v>3.24</v>
          </cell>
          <cell r="AP143">
            <v>0</v>
          </cell>
          <cell r="AQ143">
            <v>0</v>
          </cell>
          <cell r="AR143">
            <v>0</v>
          </cell>
          <cell r="AS143">
            <v>0</v>
          </cell>
          <cell r="AT143">
            <v>2.15</v>
          </cell>
          <cell r="AY143">
            <v>0.9</v>
          </cell>
          <cell r="BD143">
            <v>7344.3085106199997</v>
          </cell>
          <cell r="BE143">
            <v>0</v>
          </cell>
          <cell r="BF143">
            <v>0</v>
          </cell>
          <cell r="BG143">
            <v>0</v>
          </cell>
          <cell r="BH143">
            <v>0</v>
          </cell>
          <cell r="BI143">
            <v>3074.3617021200002</v>
          </cell>
          <cell r="BJ143">
            <v>0</v>
          </cell>
          <cell r="BK143">
            <v>0</v>
          </cell>
          <cell r="BL143">
            <v>0</v>
          </cell>
          <cell r="BM143">
            <v>0</v>
          </cell>
          <cell r="BN143">
            <v>2.02014</v>
          </cell>
          <cell r="BO143">
            <v>0</v>
          </cell>
          <cell r="BP143">
            <v>0</v>
          </cell>
          <cell r="BQ143">
            <v>0</v>
          </cell>
          <cell r="BR143">
            <v>0</v>
          </cell>
          <cell r="BS143">
            <v>0.84564000000000006</v>
          </cell>
          <cell r="BT143">
            <v>0</v>
          </cell>
          <cell r="BU143">
            <v>0</v>
          </cell>
          <cell r="BV143">
            <v>0</v>
          </cell>
          <cell r="BW143">
            <v>0</v>
          </cell>
          <cell r="BX143" t="str">
            <v>不可以</v>
          </cell>
          <cell r="CC143" t="str">
            <v xml:space="preserve">(1)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
(4) 獨有明火燒烤型號，配備精美鑄鐵烤皮，排走多餘油份，煮食效果卓越。 </v>
          </cell>
          <cell r="CE143" t="str">
            <v>一枚C型1.5V</v>
          </cell>
          <cell r="CH143" t="str">
            <v>旋鈕式</v>
          </cell>
          <cell r="CI143" t="str">
            <v>旋鈕式</v>
          </cell>
          <cell r="CR143" t="str">
            <v>燒烤板</v>
          </cell>
          <cell r="CS143" t="str">
            <v>請按此處</v>
          </cell>
          <cell r="CT143" t="str">
            <v>請按此處</v>
          </cell>
          <cell r="CV143">
            <v>7.3</v>
          </cell>
          <cell r="CW143">
            <v>16.060000000000002</v>
          </cell>
          <cell r="DF143" t="e">
            <v>#N/A</v>
          </cell>
          <cell r="DG143" t="str">
            <v>請按此處</v>
          </cell>
        </row>
        <row r="144">
          <cell r="A144" t="str">
            <v>rjb32c_br</v>
          </cell>
          <cell r="B144" t="str">
            <v>現售</v>
          </cell>
          <cell r="E144" t="str">
            <v>TGC</v>
          </cell>
          <cell r="F144" t="str">
            <v>安裝兩部“Domino”嵌入式煮食爐以上，請按此處</v>
          </cell>
          <cell r="G144" t="str">
            <v>RJB32C (BR) - 向下接頭</v>
          </cell>
          <cell r="H144" t="str">
            <v>RTB2C</v>
          </cell>
          <cell r="K144" t="str">
            <v>2019年12月16日</v>
          </cell>
          <cell r="M144" t="str">
            <v>日本</v>
          </cell>
          <cell r="N144">
            <v>9150</v>
          </cell>
          <cell r="O144" t="str">
            <v>請按此處</v>
          </cell>
          <cell r="P144">
            <v>54</v>
          </cell>
          <cell r="Q144">
            <v>2.1259842519685042</v>
          </cell>
          <cell r="R144">
            <v>66</v>
          </cell>
          <cell r="S144">
            <v>2.598425196850394</v>
          </cell>
          <cell r="T144">
            <v>126</v>
          </cell>
          <cell r="U144">
            <v>4.9606299212598426</v>
          </cell>
          <cell r="V144">
            <v>290</v>
          </cell>
          <cell r="W144">
            <v>11.41732283464567</v>
          </cell>
          <cell r="X144">
            <v>520</v>
          </cell>
          <cell r="Y144">
            <v>20.472440944881892</v>
          </cell>
          <cell r="AA144">
            <v>0</v>
          </cell>
          <cell r="AC144" t="str">
            <v>268 x 490 (10.6" x 19.3")</v>
          </cell>
          <cell r="AD144">
            <v>2</v>
          </cell>
          <cell r="AE144" t="str">
            <v>前</v>
          </cell>
          <cell r="AF144" t="str">
            <v>後</v>
          </cell>
          <cell r="AJ144">
            <v>6.12</v>
          </cell>
          <cell r="AK144">
            <v>10.08</v>
          </cell>
          <cell r="AL144">
            <v>0</v>
          </cell>
          <cell r="AM144">
            <v>0</v>
          </cell>
          <cell r="AN144">
            <v>0</v>
          </cell>
          <cell r="AO144">
            <v>0</v>
          </cell>
          <cell r="AP144">
            <v>0</v>
          </cell>
          <cell r="AQ144">
            <v>0</v>
          </cell>
          <cell r="AR144">
            <v>0</v>
          </cell>
          <cell r="AS144">
            <v>0</v>
          </cell>
          <cell r="AT144">
            <v>1.7</v>
          </cell>
          <cell r="AU144">
            <v>2.8</v>
          </cell>
          <cell r="BD144">
            <v>5807.1276595600002</v>
          </cell>
          <cell r="BE144">
            <v>9564.6808510399987</v>
          </cell>
          <cell r="BF144">
            <v>0</v>
          </cell>
          <cell r="BG144">
            <v>0</v>
          </cell>
          <cell r="BH144">
            <v>0</v>
          </cell>
          <cell r="BI144">
            <v>0</v>
          </cell>
          <cell r="BJ144">
            <v>0</v>
          </cell>
          <cell r="BK144">
            <v>0</v>
          </cell>
          <cell r="BL144">
            <v>0</v>
          </cell>
          <cell r="BM144">
            <v>0</v>
          </cell>
          <cell r="BN144">
            <v>1.5973200000000001</v>
          </cell>
          <cell r="BO144">
            <v>2.6308800000000003</v>
          </cell>
          <cell r="BP144">
            <v>0</v>
          </cell>
          <cell r="BQ144">
            <v>0</v>
          </cell>
          <cell r="BR144">
            <v>0</v>
          </cell>
          <cell r="BS144">
            <v>0</v>
          </cell>
          <cell r="BT144">
            <v>0</v>
          </cell>
          <cell r="BU144">
            <v>0</v>
          </cell>
          <cell r="BV144">
            <v>0</v>
          </cell>
          <cell r="BW144">
            <v>0</v>
          </cell>
          <cell r="BX144" t="str">
            <v>不可以</v>
          </cell>
          <cell r="BY144" t="str">
            <v>不可以</v>
          </cell>
          <cell r="CC144" t="str">
            <v>(1) 黑色陶瓷玻璃面板，配黑色耐高溫塗層銅合金爐頭蓋、鑄鐵爐架和銀灰色金屬旋鈕，高貴典雅。
(2) 爐面採用Schott德國製造陶瓷玻璃，配上黑色鋁合金框邊，美觀耐用，清潔容易。
(3) 圓形金屬控制旋鈕，表有精緻壓花，減少熱力傳遞，手感舒適。</v>
          </cell>
          <cell r="CE144" t="str">
            <v>一枚C型1.5V</v>
          </cell>
          <cell r="CG144" t="str">
            <v>黑色強化玻璃 ﹝8毫米厚﹞</v>
          </cell>
          <cell r="CH144" t="str">
            <v>旋鈕式</v>
          </cell>
          <cell r="CI144" t="str">
            <v>旋鈕式</v>
          </cell>
          <cell r="CR144" t="str">
            <v>圓形五邊承托</v>
          </cell>
          <cell r="CS144" t="str">
            <v>請按此處</v>
          </cell>
          <cell r="CT144" t="str">
            <v>請按此處</v>
          </cell>
          <cell r="CV144">
            <v>7.2</v>
          </cell>
          <cell r="CW144">
            <v>15.840000000000002</v>
          </cell>
          <cell r="DF144" t="e">
            <v>#N/A</v>
          </cell>
          <cell r="DG144" t="str">
            <v>請按此處</v>
          </cell>
        </row>
        <row r="145">
          <cell r="A145" t="str">
            <v>hzb62gpn_670</v>
          </cell>
          <cell r="B145" t="str">
            <v>停售</v>
          </cell>
          <cell r="E145" t="str">
            <v>Simpa</v>
          </cell>
          <cell r="F145" t="str">
            <v>HZB62GPN</v>
          </cell>
          <cell r="H145" t="str">
            <v>煤氣智慧爐具應用程式</v>
          </cell>
          <cell r="I145" t="str">
            <v>Wifi連接網關及手機APP教學</v>
          </cell>
          <cell r="J145" t="str">
            <v>說明書</v>
          </cell>
          <cell r="K145" t="str">
            <v>2021年8月24日</v>
          </cell>
          <cell r="L145" t="str">
            <v>2025年6月25日</v>
          </cell>
          <cell r="M145" t="str">
            <v>中國</v>
          </cell>
          <cell r="N145" t="str">
            <v>已停售</v>
          </cell>
          <cell r="O145" t="str">
            <v>請按此處</v>
          </cell>
          <cell r="P145">
            <v>58</v>
          </cell>
          <cell r="Q145">
            <v>2.2834645669291338</v>
          </cell>
          <cell r="R145">
            <v>74</v>
          </cell>
          <cell r="S145">
            <v>2.9133858267716537</v>
          </cell>
          <cell r="T145">
            <v>125</v>
          </cell>
          <cell r="U145">
            <v>4.9212598425196852</v>
          </cell>
          <cell r="V145">
            <v>760</v>
          </cell>
          <cell r="W145">
            <v>29.921259842519685</v>
          </cell>
          <cell r="X145">
            <v>450</v>
          </cell>
          <cell r="Y145">
            <v>17.716535433070867</v>
          </cell>
          <cell r="AA145">
            <v>0</v>
          </cell>
          <cell r="AC145" t="str">
            <v>670 x 350 (26.4" x 13.8")</v>
          </cell>
          <cell r="AD145">
            <v>2</v>
          </cell>
          <cell r="AE145" t="str">
            <v>左</v>
          </cell>
          <cell r="AF145" t="str">
            <v>右</v>
          </cell>
          <cell r="AJ145">
            <v>15.120000000000001</v>
          </cell>
          <cell r="AK145">
            <v>18</v>
          </cell>
          <cell r="AL145">
            <v>0</v>
          </cell>
          <cell r="AM145">
            <v>0</v>
          </cell>
          <cell r="AN145">
            <v>0</v>
          </cell>
          <cell r="AO145">
            <v>3.9600000000000004</v>
          </cell>
          <cell r="AP145">
            <v>1.8</v>
          </cell>
          <cell r="AQ145">
            <v>0</v>
          </cell>
          <cell r="AR145">
            <v>0</v>
          </cell>
          <cell r="AS145">
            <v>0</v>
          </cell>
          <cell r="AT145">
            <v>4.2</v>
          </cell>
          <cell r="AU145">
            <v>5</v>
          </cell>
          <cell r="AY145">
            <v>1.1000000000000001</v>
          </cell>
          <cell r="AZ145">
            <v>0.5</v>
          </cell>
          <cell r="BD145">
            <v>14347.021276560001</v>
          </cell>
          <cell r="BE145">
            <v>17079.787233999999</v>
          </cell>
          <cell r="BF145">
            <v>0</v>
          </cell>
          <cell r="BG145">
            <v>0</v>
          </cell>
          <cell r="BH145">
            <v>0</v>
          </cell>
          <cell r="BI145">
            <v>3757.5531914800004</v>
          </cell>
          <cell r="BJ145">
            <v>1707.9787234</v>
          </cell>
          <cell r="BK145">
            <v>0</v>
          </cell>
          <cell r="BL145">
            <v>0</v>
          </cell>
          <cell r="BM145">
            <v>0</v>
          </cell>
          <cell r="BN145">
            <v>3.9463200000000005</v>
          </cell>
          <cell r="BO145">
            <v>4.6980000000000004</v>
          </cell>
          <cell r="BP145">
            <v>0</v>
          </cell>
          <cell r="BQ145">
            <v>0</v>
          </cell>
          <cell r="BR145">
            <v>0</v>
          </cell>
          <cell r="BS145">
            <v>1.03356</v>
          </cell>
          <cell r="BT145">
            <v>0.46980000000000005</v>
          </cell>
          <cell r="BU145">
            <v>0</v>
          </cell>
          <cell r="BV145">
            <v>0</v>
          </cell>
          <cell r="BW145">
            <v>0</v>
          </cell>
          <cell r="BX145" t="str">
            <v>不可以</v>
          </cell>
          <cell r="BY145" t="str">
            <v>可以</v>
          </cell>
          <cell r="CC145" t="str">
            <v>(1) 監察爐具狀態：用手機應用程式﹝APP﹞實時監察爐具當前狀態。
(2) 遠程緊急熄火：可用手機APP遠程將爐具熄火。﹝會強制將所有開啟中的爐火同時熄滅﹞
(3)離家報警提示﹝暫時只適用於安卓Android手機﹞：當客戶﹝携同手機﹞離家而忘記將爐具熄火，手機APP會發出爐具未熄火的提醒。
(4) 智能時間掣：為左右爐頭設定個別的熄火時間，並可在該設定時般內加入最多3次的分段提醒和1次的熄火後提醒。
爐具使用中提示：當爐具在連續使用中或旋鈕未復位時，手機APP會每隔30分鐘發出提醒，以免客戶忘記熄火或將旋鈕復位。
故障提醒：當爐具出現故障，手機APP會提供故障資訊和解決方法。若問題仍未能解決，客戶可即時以手機APP進行電話預約或直接通過『煤氣網上脹戶』服務選擇上門維修日期，不用再次輸入用戶資料和故障內容。</v>
          </cell>
          <cell r="CE145" t="str">
            <v>兩枚D型1.5V</v>
          </cell>
          <cell r="CG145" t="str">
            <v>黑色強化玻璃</v>
          </cell>
          <cell r="CH145" t="str">
            <v>旋鈕式</v>
          </cell>
          <cell r="CI145" t="str">
            <v>旋鈕式</v>
          </cell>
          <cell r="CR145" t="str">
            <v>圓形五邊承托</v>
          </cell>
          <cell r="CS145" t="str">
            <v>請按此處</v>
          </cell>
          <cell r="CT145" t="str">
            <v>請按此處</v>
          </cell>
          <cell r="CU145" t="str">
            <v>請按此處</v>
          </cell>
          <cell r="CV145">
            <v>15.8</v>
          </cell>
          <cell r="CW145">
            <v>34.760000000000005</v>
          </cell>
          <cell r="CX145" t="str">
            <v>智慧煮食爐配網注意事項：
1. 家中『無線路由器』必需要支援2.4GHz WiFi
2. 網關安裝位置必需有13A插座、靠近智慧煮食爐和家中無線網絡覆蓋範圍內。
3. 若客戶從未有『煤氣網上賬戶』的 E 帳號，客戶在下載和安裝『煤氣智慧爐具』手機APP後，點擊主頁右下方的『E 帳號註冊』啟動手冊，期間會自動跳轉『煤氣網上賬戶』網頁，並會以電郵作身份驗證。完成 E 帳號註冊後，可直接登入系統。
4. 若客戶已有『煤氣網上賬戶-的 E 帳號，則可直接登入系統。</v>
          </cell>
          <cell r="CY145" t="str">
            <v>『煤氣智慧爐具』手機APP的操作</v>
          </cell>
          <cell r="CZ145" t="str">
            <v>配置網關和智慧爐具步驟</v>
          </cell>
          <cell r="DF145"/>
        </row>
        <row r="146">
          <cell r="A146" t="str">
            <v>hzb62gpn_703</v>
          </cell>
          <cell r="B146" t="str">
            <v>停售</v>
          </cell>
          <cell r="E146" t="str">
            <v>Simpa</v>
          </cell>
          <cell r="F146" t="str">
            <v>HZB62GPN</v>
          </cell>
          <cell r="H146" t="str">
            <v>煤氣智慧爐具應用程式</v>
          </cell>
          <cell r="I146" t="str">
            <v>Wifi連接網關及手機APP教學</v>
          </cell>
          <cell r="J146" t="str">
            <v>說明書</v>
          </cell>
          <cell r="K146" t="str">
            <v>2021年8月24日</v>
          </cell>
          <cell r="L146" t="str">
            <v>2025年6月25日</v>
          </cell>
          <cell r="M146" t="str">
            <v>中國</v>
          </cell>
          <cell r="N146" t="str">
            <v>已停售</v>
          </cell>
          <cell r="O146" t="str">
            <v>請按此處</v>
          </cell>
          <cell r="P146">
            <v>58</v>
          </cell>
          <cell r="Q146">
            <v>2.2834645669291338</v>
          </cell>
          <cell r="R146">
            <v>74</v>
          </cell>
          <cell r="S146">
            <v>2.9133858267716537</v>
          </cell>
          <cell r="T146">
            <v>125</v>
          </cell>
          <cell r="U146">
            <v>4.9212598425196852</v>
          </cell>
          <cell r="V146">
            <v>760</v>
          </cell>
          <cell r="W146">
            <v>29.921259842519685</v>
          </cell>
          <cell r="X146">
            <v>450</v>
          </cell>
          <cell r="Y146">
            <v>17.716535433070867</v>
          </cell>
          <cell r="AA146">
            <v>0</v>
          </cell>
          <cell r="AC146" t="str">
            <v>703 x 403 (27.7" x 15.9")</v>
          </cell>
          <cell r="AD146">
            <v>2</v>
          </cell>
          <cell r="AE146" t="str">
            <v>左</v>
          </cell>
          <cell r="AF146" t="str">
            <v>右</v>
          </cell>
          <cell r="AJ146">
            <v>15.120000000000001</v>
          </cell>
          <cell r="AK146">
            <v>18</v>
          </cell>
          <cell r="AL146">
            <v>0</v>
          </cell>
          <cell r="AM146">
            <v>0</v>
          </cell>
          <cell r="AN146">
            <v>0</v>
          </cell>
          <cell r="AO146">
            <v>3.9600000000000004</v>
          </cell>
          <cell r="AP146">
            <v>1.8</v>
          </cell>
          <cell r="AQ146">
            <v>0</v>
          </cell>
          <cell r="AR146">
            <v>0</v>
          </cell>
          <cell r="AS146">
            <v>0</v>
          </cell>
          <cell r="AT146">
            <v>4.2</v>
          </cell>
          <cell r="AU146">
            <v>5</v>
          </cell>
          <cell r="AY146">
            <v>1.1000000000000001</v>
          </cell>
          <cell r="AZ146">
            <v>0.5</v>
          </cell>
          <cell r="BD146">
            <v>14347.021276560001</v>
          </cell>
          <cell r="BE146">
            <v>17079.787233999999</v>
          </cell>
          <cell r="BF146">
            <v>0</v>
          </cell>
          <cell r="BG146">
            <v>0</v>
          </cell>
          <cell r="BH146">
            <v>0</v>
          </cell>
          <cell r="BI146">
            <v>3757.5531914800004</v>
          </cell>
          <cell r="BJ146">
            <v>1707.9787234</v>
          </cell>
          <cell r="BK146">
            <v>0</v>
          </cell>
          <cell r="BL146">
            <v>0</v>
          </cell>
          <cell r="BM146">
            <v>0</v>
          </cell>
          <cell r="BN146">
            <v>3.9463200000000005</v>
          </cell>
          <cell r="BO146">
            <v>4.6980000000000004</v>
          </cell>
          <cell r="BP146">
            <v>0</v>
          </cell>
          <cell r="BQ146">
            <v>0</v>
          </cell>
          <cell r="BR146">
            <v>0</v>
          </cell>
          <cell r="BS146">
            <v>1.03356</v>
          </cell>
          <cell r="BT146">
            <v>0.46980000000000005</v>
          </cell>
          <cell r="BU146">
            <v>0</v>
          </cell>
          <cell r="BV146">
            <v>0</v>
          </cell>
          <cell r="BW146">
            <v>0</v>
          </cell>
          <cell r="BX146" t="str">
            <v>不可以</v>
          </cell>
          <cell r="BY146" t="str">
            <v>可以</v>
          </cell>
          <cell r="CC146" t="str">
            <v>(1) 監察爐具狀態：用手機應用程式﹝APP﹞實時監察爐具當前狀態。
(2) 遠程緊急熄火：可用手機APP遠程將爐具熄火。﹝會強制將所有開啟中的爐火同時熄滅﹞
(3)離家報警提示﹝暫時只適用於安卓Android手機﹞：當客戶﹝携同手機﹞離家而忘記將爐具熄火，手機APP會發出爐具未熄火的提醒。
(4) 智能時間掣：為左右爐頭設定個別的熄火時間，並可在該設定時般內加入最多3次的分段提醒和1次的熄火後提醒。
爐具使用中提示：當爐具在連續使用中或旋鈕未復位時，手機APP會每隔30分鐘發出提醒，以免客戶忘記熄火或將旋鈕復位。
故障提醒：當爐具出現故障，手機APP會提供故障資訊和解決方法。若問題仍未能解決，客戶可即時以手機APP進行電話預約或直接通過『煤氣網上脹戶』服務選擇上門維修日期，不用再次輸入用戶資料和故障內容。</v>
          </cell>
          <cell r="CE146" t="str">
            <v>兩枚D型1.5V</v>
          </cell>
          <cell r="CG146" t="str">
            <v>黑色強化玻璃</v>
          </cell>
          <cell r="CH146" t="str">
            <v>旋鈕式</v>
          </cell>
          <cell r="CI146" t="str">
            <v>旋鈕式</v>
          </cell>
          <cell r="CR146" t="str">
            <v>圓形五邊承托</v>
          </cell>
          <cell r="CS146" t="str">
            <v>請按此處</v>
          </cell>
          <cell r="CT146" t="str">
            <v>請按此處</v>
          </cell>
          <cell r="CU146" t="str">
            <v>請按此處</v>
          </cell>
          <cell r="CV146">
            <v>15.8</v>
          </cell>
          <cell r="CW146">
            <v>34.760000000000005</v>
          </cell>
          <cell r="CX146" t="str">
            <v>智慧煮食爐配網注意事項：
1. 家中『無線路由器』必需要支援2.4GHz WiFi
2. 網關安裝位置必需有13A插座、靠近智慧煮食爐和家中無線網絡覆蓋範圍內。
3. 若客戶從未有『煤氣網上賬戶』的 E 帳號，客戶在下載和安裝『煤氣智慧爐具』手機APP後，點擊主頁右下方的『E 帳號註冊』啟動手冊，期間會自動跳轉『煤氣網上賬戶』網頁，並會以電郵作身份驗證。完成 E 帳號註冊後，可直接登入系統。
4. 若客戶已有『煤氣網上賬戶-的 E 帳號，則可直接登入系統。</v>
          </cell>
          <cell r="CY146" t="str">
            <v>『煤氣智慧爐具』手機APP的操作</v>
          </cell>
          <cell r="CZ146" t="str">
            <v>配置網關和智慧爐具步驟</v>
          </cell>
          <cell r="DF146"/>
        </row>
        <row r="147">
          <cell r="A147" t="str">
            <v>hzb62gn_670</v>
          </cell>
          <cell r="B147" t="str">
            <v>停售</v>
          </cell>
          <cell r="E147" t="str">
            <v>Simpa</v>
          </cell>
          <cell r="F147" t="str">
            <v>HZB62GN</v>
          </cell>
          <cell r="K147" t="str">
            <v>2023年4月3日</v>
          </cell>
          <cell r="L147" t="str">
            <v>2025年7月30日</v>
          </cell>
          <cell r="M147" t="str">
            <v>中國</v>
          </cell>
          <cell r="N147" t="str">
            <v>已停售</v>
          </cell>
          <cell r="O147" t="str">
            <v>請按此處</v>
          </cell>
          <cell r="P147">
            <v>66</v>
          </cell>
          <cell r="Q147">
            <v>2.598425196850394</v>
          </cell>
          <cell r="R147">
            <v>81</v>
          </cell>
          <cell r="S147">
            <v>3.188976377952756</v>
          </cell>
          <cell r="T147">
            <v>140</v>
          </cell>
          <cell r="U147">
            <v>5.5118110236220472</v>
          </cell>
          <cell r="V147">
            <v>760</v>
          </cell>
          <cell r="W147">
            <v>29.921259842519685</v>
          </cell>
          <cell r="X147">
            <v>450</v>
          </cell>
          <cell r="Y147">
            <v>17.716535433070867</v>
          </cell>
          <cell r="AA147">
            <v>0</v>
          </cell>
          <cell r="AC147" t="str">
            <v>670 x 350 (26.4" x 13.8")</v>
          </cell>
          <cell r="AD147">
            <v>2</v>
          </cell>
          <cell r="AE147" t="str">
            <v>左</v>
          </cell>
          <cell r="AF147" t="str">
            <v>右</v>
          </cell>
          <cell r="AJ147">
            <v>18</v>
          </cell>
          <cell r="AK147">
            <v>18</v>
          </cell>
          <cell r="AL147">
            <v>0</v>
          </cell>
          <cell r="AM147">
            <v>0</v>
          </cell>
          <cell r="AN147">
            <v>0</v>
          </cell>
          <cell r="AO147">
            <v>1.8</v>
          </cell>
          <cell r="AP147">
            <v>1.8</v>
          </cell>
          <cell r="AQ147">
            <v>0</v>
          </cell>
          <cell r="AR147">
            <v>0</v>
          </cell>
          <cell r="AS147">
            <v>0</v>
          </cell>
          <cell r="AT147">
            <v>5</v>
          </cell>
          <cell r="AU147">
            <v>5</v>
          </cell>
          <cell r="AY147">
            <v>0.5</v>
          </cell>
          <cell r="AZ147">
            <v>0.5</v>
          </cell>
          <cell r="BD147">
            <v>17079.787233999999</v>
          </cell>
          <cell r="BE147">
            <v>17079.787233999999</v>
          </cell>
          <cell r="BF147">
            <v>0</v>
          </cell>
          <cell r="BG147">
            <v>0</v>
          </cell>
          <cell r="BH147">
            <v>0</v>
          </cell>
          <cell r="BI147">
            <v>1707.9787234</v>
          </cell>
          <cell r="BJ147">
            <v>1707.9787234</v>
          </cell>
          <cell r="BK147">
            <v>0</v>
          </cell>
          <cell r="BL147">
            <v>0</v>
          </cell>
          <cell r="BM147">
            <v>0</v>
          </cell>
          <cell r="BN147">
            <v>4.6980000000000004</v>
          </cell>
          <cell r="BO147">
            <v>4.6980000000000004</v>
          </cell>
          <cell r="BP147">
            <v>0</v>
          </cell>
          <cell r="BQ147">
            <v>0</v>
          </cell>
          <cell r="BR147">
            <v>0</v>
          </cell>
          <cell r="BS147">
            <v>0.46980000000000005</v>
          </cell>
          <cell r="BT147">
            <v>0.46980000000000005</v>
          </cell>
          <cell r="BU147">
            <v>0</v>
          </cell>
          <cell r="BV147">
            <v>0</v>
          </cell>
          <cell r="BW147">
            <v>0</v>
          </cell>
          <cell r="BX147" t="str">
            <v>可以</v>
          </cell>
          <cell r="BY147" t="str">
            <v>可以</v>
          </cell>
          <cell r="CC147" t="str">
            <v>(1) 配備智慧功能，與HZB62GPN相同。
(2) 配備鋰電池儲電器。
(3) 能透過手機遠程監察爐具狀況及緊急熄火，時刻得到安心保障。
(4) 『爐具使用中提示』功能會每30分鐘提醒客戶爐具正在使用，Android 客戶更能率先體驗離家報警提示。
(5) 智能時間掣能預設熄火時間，方便煮食。
(6) 銅合金製爐頭，槽式火孔，表面加上耐高溫黑色塗層，美觀耐用，清理容易。
(7) 快易點火系統，點火快捷。
(8) 適合670x350毫米和703x403毫米枱面開孔，橫向式氣體接頭，安裝靈活。</v>
          </cell>
          <cell r="CE147" t="str">
            <v>鋰電池儲電器 或 2 枚D型1.5v</v>
          </cell>
          <cell r="CG147" t="str">
            <v>黑色強化玻璃</v>
          </cell>
          <cell r="CH147" t="str">
            <v>旋鈕式</v>
          </cell>
          <cell r="CI147" t="str">
            <v>旋鈕式</v>
          </cell>
          <cell r="CJ147" t="str">
            <v>銅合金</v>
          </cell>
          <cell r="CR147" t="str">
            <v>圓形五邊承托</v>
          </cell>
          <cell r="CS147" t="str">
            <v>請按此處</v>
          </cell>
          <cell r="CT147" t="str">
            <v>請按此處</v>
          </cell>
          <cell r="CV147">
            <v>17.3</v>
          </cell>
          <cell r="CW147">
            <v>38.06</v>
          </cell>
          <cell r="CX147" t="str">
            <v>生產商：合勝
原產地：中國</v>
          </cell>
          <cell r="CY147" t="str">
            <v>配備智慧功能</v>
          </cell>
          <cell r="CZ147" t="str">
            <v>配備鋰電池儲電器</v>
          </cell>
          <cell r="DF147"/>
        </row>
        <row r="148">
          <cell r="A148" t="str">
            <v>hzb62gn_703</v>
          </cell>
          <cell r="B148" t="str">
            <v>停售</v>
          </cell>
          <cell r="E148" t="str">
            <v>Simpa</v>
          </cell>
          <cell r="F148" t="str">
            <v>HZB62GN</v>
          </cell>
          <cell r="K148" t="str">
            <v>2023年4月3日</v>
          </cell>
          <cell r="L148" t="str">
            <v>2025年7月30日</v>
          </cell>
          <cell r="M148" t="str">
            <v>中國</v>
          </cell>
          <cell r="N148" t="str">
            <v>已停售</v>
          </cell>
          <cell r="O148" t="str">
            <v>請按此處</v>
          </cell>
          <cell r="P148">
            <v>66</v>
          </cell>
          <cell r="Q148">
            <v>2.598425196850394</v>
          </cell>
          <cell r="R148">
            <v>81</v>
          </cell>
          <cell r="S148">
            <v>3.188976377952756</v>
          </cell>
          <cell r="T148">
            <v>140</v>
          </cell>
          <cell r="U148">
            <v>5.5118110236220472</v>
          </cell>
          <cell r="V148">
            <v>760</v>
          </cell>
          <cell r="W148">
            <v>29.921259842519685</v>
          </cell>
          <cell r="X148">
            <v>450</v>
          </cell>
          <cell r="Y148">
            <v>17.716535433070867</v>
          </cell>
          <cell r="AA148">
            <v>0</v>
          </cell>
          <cell r="AC148" t="str">
            <v>703 x 403 (27.7" x 15.9")</v>
          </cell>
          <cell r="AD148">
            <v>2</v>
          </cell>
          <cell r="AE148" t="str">
            <v>左</v>
          </cell>
          <cell r="AF148" t="str">
            <v>右</v>
          </cell>
          <cell r="AJ148">
            <v>18</v>
          </cell>
          <cell r="AK148">
            <v>18</v>
          </cell>
          <cell r="AL148">
            <v>0</v>
          </cell>
          <cell r="AM148">
            <v>0</v>
          </cell>
          <cell r="AN148">
            <v>0</v>
          </cell>
          <cell r="AO148">
            <v>1.8</v>
          </cell>
          <cell r="AP148">
            <v>1.8</v>
          </cell>
          <cell r="AQ148">
            <v>0</v>
          </cell>
          <cell r="AR148">
            <v>0</v>
          </cell>
          <cell r="AS148">
            <v>0</v>
          </cell>
          <cell r="AT148">
            <v>5</v>
          </cell>
          <cell r="AU148">
            <v>5</v>
          </cell>
          <cell r="AY148">
            <v>0.5</v>
          </cell>
          <cell r="AZ148">
            <v>0.5</v>
          </cell>
          <cell r="BD148">
            <v>17079.787233999999</v>
          </cell>
          <cell r="BE148">
            <v>17079.787233999999</v>
          </cell>
          <cell r="BF148">
            <v>0</v>
          </cell>
          <cell r="BG148">
            <v>0</v>
          </cell>
          <cell r="BH148">
            <v>0</v>
          </cell>
          <cell r="BI148">
            <v>1707.9787234</v>
          </cell>
          <cell r="BJ148">
            <v>1707.9787234</v>
          </cell>
          <cell r="BK148">
            <v>0</v>
          </cell>
          <cell r="BL148">
            <v>0</v>
          </cell>
          <cell r="BM148">
            <v>0</v>
          </cell>
          <cell r="BN148">
            <v>4.6980000000000004</v>
          </cell>
          <cell r="BO148">
            <v>4.6980000000000004</v>
          </cell>
          <cell r="BP148">
            <v>0</v>
          </cell>
          <cell r="BQ148">
            <v>0</v>
          </cell>
          <cell r="BR148">
            <v>0</v>
          </cell>
          <cell r="BS148">
            <v>0.46980000000000005</v>
          </cell>
          <cell r="BT148">
            <v>0.46980000000000005</v>
          </cell>
          <cell r="BU148">
            <v>0</v>
          </cell>
          <cell r="BV148">
            <v>0</v>
          </cell>
          <cell r="BW148">
            <v>0</v>
          </cell>
          <cell r="BX148" t="str">
            <v>可以</v>
          </cell>
          <cell r="BY148" t="str">
            <v>可以</v>
          </cell>
          <cell r="CC148" t="str">
            <v>(1) 配備智慧功能，與HZB62GPN相同。
(2) 配備鋰電池儲電器。
(3) 能透過手機遠程監察爐具狀況及緊急熄火，時刻得到安心保障。
(4) 『爐具使用中提示』功能會每30分鐘提醒客戶爐具正在使用，Android 客戶更能率先體驗離家報警提示。
(5) 智能時間掣能預設熄火時間，方便煮食。
(6) 銅合金製爐頭，槽式火孔，表面加上耐高溫黑色塗層，美觀耐用，清理容易。
(7) 快易點火系統，點火快捷。
(8) 適合670x350毫米和703x403毫米枱面開孔，橫向式氣體接頭，安裝靈活。</v>
          </cell>
          <cell r="CE148" t="str">
            <v>鋰電池儲電器 或 2 枚D型1.5v</v>
          </cell>
          <cell r="CG148" t="str">
            <v>黑色強化玻璃</v>
          </cell>
          <cell r="CH148" t="str">
            <v>旋鈕式</v>
          </cell>
          <cell r="CI148" t="str">
            <v>旋鈕式</v>
          </cell>
          <cell r="CJ148" t="str">
            <v>銅合金</v>
          </cell>
          <cell r="CR148" t="str">
            <v>圓形五邊承托</v>
          </cell>
          <cell r="CS148" t="str">
            <v>請按此處</v>
          </cell>
          <cell r="CT148" t="str">
            <v>請按此處</v>
          </cell>
          <cell r="CV148">
            <v>17.3</v>
          </cell>
          <cell r="CW148">
            <v>38.06</v>
          </cell>
          <cell r="CX148" t="str">
            <v>生產商：合勝
原產地：中國</v>
          </cell>
          <cell r="CY148" t="str">
            <v>配備智慧功能</v>
          </cell>
          <cell r="CZ148" t="str">
            <v>配備鋰電池儲電器</v>
          </cell>
          <cell r="DF148"/>
        </row>
        <row r="149">
          <cell r="A149" t="str">
            <v>stb62gm_670</v>
          </cell>
          <cell r="B149" t="str">
            <v>現售</v>
          </cell>
          <cell r="E149" t="str">
            <v>TGC</v>
          </cell>
          <cell r="F149" t="str">
            <v>STB62GM</v>
          </cell>
          <cell r="G149" t="str">
            <v>RT2GM</v>
          </cell>
          <cell r="I149" t="str">
            <v>說明書</v>
          </cell>
          <cell r="K149" t="str">
            <v>2023年6月26日</v>
          </cell>
          <cell r="M149" t="str">
            <v>台灣</v>
          </cell>
          <cell r="N149">
            <v>6680</v>
          </cell>
          <cell r="O149" t="str">
            <v>請按此處</v>
          </cell>
          <cell r="P149">
            <v>67</v>
          </cell>
          <cell r="Q149">
            <v>2.6377952755905514</v>
          </cell>
          <cell r="R149">
            <v>80</v>
          </cell>
          <cell r="S149">
            <v>3.1496062992125986</v>
          </cell>
          <cell r="T149">
            <v>142</v>
          </cell>
          <cell r="U149">
            <v>5.5905511811023629</v>
          </cell>
          <cell r="V149">
            <v>745</v>
          </cell>
          <cell r="W149">
            <v>29.330708661417326</v>
          </cell>
          <cell r="X149">
            <v>445</v>
          </cell>
          <cell r="Y149">
            <v>17.519685039370081</v>
          </cell>
          <cell r="AA149">
            <v>0</v>
          </cell>
          <cell r="AC149" t="str">
            <v>670 x 350 (26.4" x 13.8")</v>
          </cell>
          <cell r="AD149">
            <v>2</v>
          </cell>
          <cell r="AE149" t="str">
            <v>左</v>
          </cell>
          <cell r="AF149" t="str">
            <v>右</v>
          </cell>
          <cell r="AJ149">
            <v>15.120000000000001</v>
          </cell>
          <cell r="AK149">
            <v>18</v>
          </cell>
          <cell r="AL149">
            <v>0</v>
          </cell>
          <cell r="AM149">
            <v>0</v>
          </cell>
          <cell r="AN149">
            <v>0</v>
          </cell>
          <cell r="AO149">
            <v>2.8800000000000003</v>
          </cell>
          <cell r="AP149">
            <v>1.8</v>
          </cell>
          <cell r="AQ149">
            <v>0</v>
          </cell>
          <cell r="AR149">
            <v>0</v>
          </cell>
          <cell r="AS149">
            <v>0</v>
          </cell>
          <cell r="AT149">
            <v>4.2</v>
          </cell>
          <cell r="AU149">
            <v>5</v>
          </cell>
          <cell r="AY149">
            <v>0.8</v>
          </cell>
          <cell r="AZ149">
            <v>0.5</v>
          </cell>
          <cell r="BD149">
            <v>14347.021276560001</v>
          </cell>
          <cell r="BE149">
            <v>17079.787233999999</v>
          </cell>
          <cell r="BF149">
            <v>0</v>
          </cell>
          <cell r="BG149">
            <v>0</v>
          </cell>
          <cell r="BH149">
            <v>0</v>
          </cell>
          <cell r="BI149">
            <v>2732.7659574400004</v>
          </cell>
          <cell r="BJ149">
            <v>1707.9787234</v>
          </cell>
          <cell r="BK149">
            <v>0</v>
          </cell>
          <cell r="BL149">
            <v>0</v>
          </cell>
          <cell r="BM149">
            <v>0</v>
          </cell>
          <cell r="BN149">
            <v>3.9463200000000005</v>
          </cell>
          <cell r="BO149">
            <v>4.6980000000000004</v>
          </cell>
          <cell r="BP149">
            <v>0</v>
          </cell>
          <cell r="BQ149">
            <v>0</v>
          </cell>
          <cell r="BR149">
            <v>0</v>
          </cell>
          <cell r="BS149">
            <v>0.75168000000000013</v>
          </cell>
          <cell r="BT149">
            <v>0.46980000000000005</v>
          </cell>
          <cell r="BU149">
            <v>0</v>
          </cell>
          <cell r="BV149">
            <v>0</v>
          </cell>
          <cell r="BW149">
            <v>0</v>
          </cell>
          <cell r="BX149" t="str">
            <v>不可以</v>
          </cell>
          <cell r="BY149" t="str">
            <v>可以</v>
          </cell>
          <cell r="CC149" t="str">
            <v>(1) 智能爐頭設有三種智能煮食功能，包括定時煮食﹝最長4小時﹞、煎炸定溫及定時煲湯，並預設過熱熄火及離鍋小火功能。
(2) 配有黑色強化玻璃配五腳鑄鐵爐架及耐高溫黑色塗層銅爐頭，美觀耐用。
(3) 左右爐頭除採用快易點火系統外，並設有全方位安全設計，包括熄火安全裝置、過熱熄火功能、防高溫保護裝置及預設3小時連續煮食自動熄火功能，令煮食更安全可靠。</v>
          </cell>
          <cell r="CD149" t="str">
            <v>不適用</v>
          </cell>
          <cell r="CE149" t="str">
            <v>2枚D型1.5V</v>
          </cell>
          <cell r="CG149" t="str">
            <v>強化玻璃</v>
          </cell>
          <cell r="CH149" t="str">
            <v>旋鈕式</v>
          </cell>
          <cell r="CI149" t="str">
            <v>旋鈕式</v>
          </cell>
          <cell r="CJ149" t="str">
            <v>雙環</v>
          </cell>
          <cell r="CK149" t="str">
            <v>不適用</v>
          </cell>
          <cell r="CL149" t="str">
            <v>不適用</v>
          </cell>
          <cell r="CM149" t="str">
            <v>不適用</v>
          </cell>
          <cell r="CN149" t="str">
            <v>不適用</v>
          </cell>
          <cell r="CO149" t="str">
            <v>單環</v>
          </cell>
          <cell r="CP149" t="str">
            <v>不適用</v>
          </cell>
          <cell r="CQ149" t="str">
            <v>不適用</v>
          </cell>
          <cell r="CR149" t="str">
            <v>圓形五邊承托</v>
          </cell>
          <cell r="CS149" t="str">
            <v>請按此處</v>
          </cell>
          <cell r="CT149" t="str">
            <v>請按此處</v>
          </cell>
          <cell r="CV149">
            <v>18</v>
          </cell>
          <cell r="CW149">
            <v>39.6</v>
          </cell>
          <cell r="CX149" t="str">
            <v>生產商：櫻花</v>
          </cell>
          <cell r="DF149" t="str">
            <v>貨源正常</v>
          </cell>
          <cell r="DG149" t="str">
            <v>請按此處</v>
          </cell>
        </row>
        <row r="150">
          <cell r="A150" t="str">
            <v>STB62gm_703</v>
          </cell>
          <cell r="B150" t="str">
            <v>現售</v>
          </cell>
          <cell r="E150" t="str">
            <v>TGC</v>
          </cell>
          <cell r="F150" t="str">
            <v>STB62GM</v>
          </cell>
          <cell r="G150" t="str">
            <v>RT2GM</v>
          </cell>
          <cell r="I150" t="str">
            <v>說明書</v>
          </cell>
          <cell r="K150" t="str">
            <v>2023年6月26日</v>
          </cell>
          <cell r="M150" t="str">
            <v>台灣</v>
          </cell>
          <cell r="N150">
            <v>6680</v>
          </cell>
          <cell r="O150" t="str">
            <v>請按此處</v>
          </cell>
          <cell r="P150">
            <v>67</v>
          </cell>
          <cell r="Q150">
            <v>2.6377952755905514</v>
          </cell>
          <cell r="R150">
            <v>80</v>
          </cell>
          <cell r="S150">
            <v>3.1496062992125986</v>
          </cell>
          <cell r="T150">
            <v>142</v>
          </cell>
          <cell r="U150">
            <v>5.5905511811023629</v>
          </cell>
          <cell r="V150">
            <v>745</v>
          </cell>
          <cell r="W150">
            <v>29.330708661417326</v>
          </cell>
          <cell r="X150">
            <v>445</v>
          </cell>
          <cell r="Y150">
            <v>17.519685039370081</v>
          </cell>
          <cell r="AA150">
            <v>0</v>
          </cell>
          <cell r="AC150" t="str">
            <v>703 x 403 (27.7" x 15.9")</v>
          </cell>
          <cell r="AD150">
            <v>2</v>
          </cell>
          <cell r="AE150" t="str">
            <v>左</v>
          </cell>
          <cell r="AF150" t="str">
            <v>右</v>
          </cell>
          <cell r="AJ150">
            <v>15.120000000000001</v>
          </cell>
          <cell r="AK150">
            <v>18</v>
          </cell>
          <cell r="AL150">
            <v>0</v>
          </cell>
          <cell r="AM150">
            <v>0</v>
          </cell>
          <cell r="AN150">
            <v>0</v>
          </cell>
          <cell r="AO150">
            <v>2.8800000000000003</v>
          </cell>
          <cell r="AP150">
            <v>1.8</v>
          </cell>
          <cell r="AQ150">
            <v>0</v>
          </cell>
          <cell r="AR150">
            <v>0</v>
          </cell>
          <cell r="AS150">
            <v>0</v>
          </cell>
          <cell r="AT150">
            <v>4.2</v>
          </cell>
          <cell r="AU150">
            <v>5</v>
          </cell>
          <cell r="AY150">
            <v>0.8</v>
          </cell>
          <cell r="AZ150">
            <v>0.5</v>
          </cell>
          <cell r="BD150">
            <v>14347.021276560001</v>
          </cell>
          <cell r="BE150">
            <v>17079.787233999999</v>
          </cell>
          <cell r="BF150">
            <v>0</v>
          </cell>
          <cell r="BG150">
            <v>0</v>
          </cell>
          <cell r="BH150">
            <v>0</v>
          </cell>
          <cell r="BI150">
            <v>2732.7659574400004</v>
          </cell>
          <cell r="BJ150">
            <v>1707.9787234</v>
          </cell>
          <cell r="BK150">
            <v>0</v>
          </cell>
          <cell r="BL150">
            <v>0</v>
          </cell>
          <cell r="BM150">
            <v>0</v>
          </cell>
          <cell r="BN150">
            <v>3.9463200000000005</v>
          </cell>
          <cell r="BO150">
            <v>4.6980000000000004</v>
          </cell>
          <cell r="BP150">
            <v>0</v>
          </cell>
          <cell r="BQ150">
            <v>0</v>
          </cell>
          <cell r="BR150">
            <v>0</v>
          </cell>
          <cell r="BS150">
            <v>0.75168000000000013</v>
          </cell>
          <cell r="BT150">
            <v>0.46980000000000005</v>
          </cell>
          <cell r="BU150">
            <v>0</v>
          </cell>
          <cell r="BV150">
            <v>0</v>
          </cell>
          <cell r="BW150">
            <v>0</v>
          </cell>
          <cell r="BX150" t="str">
            <v>不可以</v>
          </cell>
          <cell r="BY150" t="str">
            <v>可以</v>
          </cell>
          <cell r="CC150" t="str">
            <v>(1) 智能爐頭設有三種智能煮食功能，包括定時煮食﹝最長4小時﹞、煎炸定溫及定時煲湯，並預設過熱熄火及離鍋小火功能。
(2) 配有黑色強化玻璃配五腳鑄鐵爐架及耐高溫黑色塗層銅爐頭，美觀耐用。
(3) 左右爐頭除採用快易點火系統外，並設有全方位安全設計，包括熄火安全裝置、過熱熄火功能、防高溫保護裝置及預設3小時連續煮食自動熄火功能，令煮食更安全可靠。</v>
          </cell>
          <cell r="CD150" t="str">
            <v>不適用</v>
          </cell>
          <cell r="CE150" t="str">
            <v>2枚D型1.5V</v>
          </cell>
          <cell r="CG150" t="str">
            <v>強化玻璃</v>
          </cell>
          <cell r="CH150" t="str">
            <v>旋鈕式</v>
          </cell>
          <cell r="CI150" t="str">
            <v>旋鈕式</v>
          </cell>
          <cell r="CJ150" t="str">
            <v>雙環</v>
          </cell>
          <cell r="CK150" t="str">
            <v>不適用</v>
          </cell>
          <cell r="CL150" t="str">
            <v>不適用</v>
          </cell>
          <cell r="CM150" t="str">
            <v>不適用</v>
          </cell>
          <cell r="CN150" t="str">
            <v>不適用</v>
          </cell>
          <cell r="CO150" t="str">
            <v>單環</v>
          </cell>
          <cell r="CP150" t="str">
            <v>不適用</v>
          </cell>
          <cell r="CQ150" t="str">
            <v>不適用</v>
          </cell>
          <cell r="CR150" t="str">
            <v>圓形五邊承托</v>
          </cell>
          <cell r="CS150" t="str">
            <v>請按此處</v>
          </cell>
          <cell r="CT150" t="str">
            <v>請按此處</v>
          </cell>
          <cell r="CV150">
            <v>18</v>
          </cell>
          <cell r="CW150">
            <v>39.6</v>
          </cell>
          <cell r="CX150" t="str">
            <v>生產商：櫻花</v>
          </cell>
          <cell r="DF150" t="str">
            <v>貨源正常</v>
          </cell>
          <cell r="DG150" t="str">
            <v>請按此處</v>
          </cell>
        </row>
        <row r="151">
          <cell r="A151" t="str">
            <v>wzb62g</v>
          </cell>
          <cell r="B151" t="str">
            <v>現售</v>
          </cell>
          <cell r="E151" t="str">
            <v>Simpa</v>
          </cell>
          <cell r="F151" t="str">
            <v>WZB62G</v>
          </cell>
          <cell r="G151" t="str">
            <v>RSW2G</v>
          </cell>
          <cell r="I151" t="str">
            <v>說明書</v>
          </cell>
          <cell r="J151" t="str">
            <v>爐具備有膠腳及橫向式燃氣接口，適合座枱式安裝。</v>
          </cell>
          <cell r="K151" t="str">
            <v>2023年6月26日</v>
          </cell>
          <cell r="M151" t="str">
            <v>中國</v>
          </cell>
          <cell r="N151">
            <v>4180</v>
          </cell>
          <cell r="O151" t="str">
            <v>請按此處</v>
          </cell>
          <cell r="P151">
            <v>92</v>
          </cell>
          <cell r="Q151">
            <v>3.6220472440944884</v>
          </cell>
          <cell r="R151">
            <v>105</v>
          </cell>
          <cell r="S151">
            <v>4.1338582677165361</v>
          </cell>
          <cell r="T151">
            <v>163</v>
          </cell>
          <cell r="U151">
            <v>6.4173228346456694</v>
          </cell>
          <cell r="V151">
            <v>720</v>
          </cell>
          <cell r="W151">
            <v>28.346456692913389</v>
          </cell>
          <cell r="X151">
            <v>420</v>
          </cell>
          <cell r="Y151">
            <v>16.535433070866144</v>
          </cell>
          <cell r="AA151">
            <v>0</v>
          </cell>
          <cell r="AC151" t="str">
            <v>670 x 350 (26.4" x 13.8")</v>
          </cell>
          <cell r="AD151">
            <v>2</v>
          </cell>
          <cell r="AE151" t="str">
            <v>左</v>
          </cell>
          <cell r="AF151" t="str">
            <v>右</v>
          </cell>
          <cell r="AJ151">
            <v>17.28</v>
          </cell>
          <cell r="AK151">
            <v>17.28</v>
          </cell>
          <cell r="AL151">
            <v>0</v>
          </cell>
          <cell r="AM151">
            <v>0</v>
          </cell>
          <cell r="AN151">
            <v>0</v>
          </cell>
          <cell r="AO151">
            <v>0</v>
          </cell>
          <cell r="AP151">
            <v>0</v>
          </cell>
          <cell r="AQ151">
            <v>0</v>
          </cell>
          <cell r="AR151">
            <v>0</v>
          </cell>
          <cell r="AS151">
            <v>0</v>
          </cell>
          <cell r="AT151">
            <v>4.8</v>
          </cell>
          <cell r="AU151">
            <v>4.8</v>
          </cell>
          <cell r="BD151">
            <v>16396.595744639999</v>
          </cell>
          <cell r="BE151">
            <v>16396.595744639999</v>
          </cell>
          <cell r="BF151">
            <v>0</v>
          </cell>
          <cell r="BG151">
            <v>0</v>
          </cell>
          <cell r="BH151">
            <v>0</v>
          </cell>
          <cell r="BI151">
            <v>0</v>
          </cell>
          <cell r="BJ151">
            <v>0</v>
          </cell>
          <cell r="BK151">
            <v>0</v>
          </cell>
          <cell r="BL151">
            <v>0</v>
          </cell>
          <cell r="BM151">
            <v>0</v>
          </cell>
          <cell r="BN151">
            <v>4.5100800000000003</v>
          </cell>
          <cell r="BO151">
            <v>4.5100800000000003</v>
          </cell>
          <cell r="BP151">
            <v>0</v>
          </cell>
          <cell r="BQ151">
            <v>0</v>
          </cell>
          <cell r="BR151">
            <v>0</v>
          </cell>
          <cell r="BS151">
            <v>0</v>
          </cell>
          <cell r="BT151">
            <v>0</v>
          </cell>
          <cell r="BU151">
            <v>0</v>
          </cell>
          <cell r="BV151">
            <v>0</v>
          </cell>
          <cell r="BW151">
            <v>0</v>
          </cell>
          <cell r="CC151" t="str">
            <v>(1) 新增防高溫保護裝置，當發生火焰異常，如回火或倒流火，熱敏電阻感應到高溫，爐火會自動熄滅，安全可靠。
(2) 配備4.8千瓦雙環爐頭，滿足各式烹調需要。
(3) 快易點火系統，點火方便快捷。
(4) 黑色強化玻璃面板，配上黑色耐高溫塗層銅合金爐頭蓋，槽式火孔，美觀耐用，清理容易。
(5) 爐具備有膠腳及橫向式燃氣接口，適合座枱式安裝。</v>
          </cell>
          <cell r="CD151" t="str">
            <v>不適用</v>
          </cell>
          <cell r="CE151" t="str">
            <v>1枚D型1.5V</v>
          </cell>
          <cell r="CG151" t="str">
            <v>強化玻璃</v>
          </cell>
          <cell r="CH151" t="str">
            <v>旋鈕式</v>
          </cell>
          <cell r="CI151" t="str">
            <v>旋鈕式</v>
          </cell>
          <cell r="CJ151" t="str">
            <v>雙環 x 2</v>
          </cell>
          <cell r="CK151" t="str">
            <v>不適用</v>
          </cell>
          <cell r="CL151" t="str">
            <v>不適用</v>
          </cell>
          <cell r="CM151" t="str">
            <v>不適用</v>
          </cell>
          <cell r="CN151" t="str">
            <v>不適用</v>
          </cell>
          <cell r="CO151" t="str">
            <v>不適用</v>
          </cell>
          <cell r="CP151" t="str">
            <v>不適用</v>
          </cell>
          <cell r="CQ151" t="str">
            <v>不適用</v>
          </cell>
          <cell r="CR151" t="str">
            <v>圓形五邊承托</v>
          </cell>
          <cell r="CS151" t="str">
            <v>請按此處</v>
          </cell>
          <cell r="CT151" t="str">
            <v>請按此處</v>
          </cell>
          <cell r="CV151">
            <v>17</v>
          </cell>
          <cell r="CW151">
            <v>37.400000000000006</v>
          </cell>
          <cell r="CX151" t="str">
            <v>生產商：叁威
爐頭設計：不是密封式爐頭。</v>
          </cell>
          <cell r="DF151" t="str">
            <v>貨源正常</v>
          </cell>
          <cell r="DG151" t="str">
            <v>請按此處</v>
          </cell>
        </row>
        <row r="152">
          <cell r="A152" t="str">
            <v>trtb62st_star</v>
          </cell>
          <cell r="B152" t="str">
            <v>現售</v>
          </cell>
          <cell r="E152" t="str">
            <v xml:space="preserve">TGC </v>
          </cell>
          <cell r="F152" t="str">
            <v>TRTB62ST-G (Little Twin Stars版)</v>
          </cell>
          <cell r="G152" t="str">
            <v>R6SH0 / R6SH1</v>
          </cell>
          <cell r="K152" t="str">
            <v>2023年8月1日</v>
          </cell>
          <cell r="M152" t="str">
            <v>台灣</v>
          </cell>
          <cell r="N152">
            <v>6880</v>
          </cell>
          <cell r="O152" t="str">
            <v>請按此處</v>
          </cell>
          <cell r="P152">
            <v>56</v>
          </cell>
          <cell r="Q152">
            <v>2.204724409448819</v>
          </cell>
          <cell r="R152">
            <v>67</v>
          </cell>
          <cell r="S152">
            <v>2.6377952755905514</v>
          </cell>
          <cell r="T152">
            <v>128</v>
          </cell>
          <cell r="U152">
            <v>5.0393700787401574</v>
          </cell>
          <cell r="V152">
            <v>720</v>
          </cell>
          <cell r="W152">
            <v>28.346456692913389</v>
          </cell>
          <cell r="X152">
            <v>420</v>
          </cell>
          <cell r="Y152">
            <v>16.535433070866144</v>
          </cell>
          <cell r="Z152">
            <v>400</v>
          </cell>
          <cell r="AA152">
            <v>15.748031496062993</v>
          </cell>
          <cell r="AC152" t="str">
            <v>670 x 350 (26.4" x 13.8")</v>
          </cell>
          <cell r="AD152">
            <v>2</v>
          </cell>
          <cell r="AE152" t="str">
            <v>左</v>
          </cell>
          <cell r="AF152" t="str">
            <v>右</v>
          </cell>
          <cell r="AJ152">
            <v>18</v>
          </cell>
          <cell r="AK152">
            <v>18</v>
          </cell>
          <cell r="AL152">
            <v>0</v>
          </cell>
          <cell r="AM152">
            <v>0</v>
          </cell>
          <cell r="AN152">
            <v>0</v>
          </cell>
          <cell r="AO152">
            <v>1.4400000000000002</v>
          </cell>
          <cell r="AP152">
            <v>1.4400000000000002</v>
          </cell>
          <cell r="AQ152">
            <v>0</v>
          </cell>
          <cell r="AR152">
            <v>0</v>
          </cell>
          <cell r="AS152">
            <v>0</v>
          </cell>
          <cell r="AT152">
            <v>5</v>
          </cell>
          <cell r="AU152">
            <v>5</v>
          </cell>
          <cell r="AY152">
            <v>0.4</v>
          </cell>
          <cell r="AZ152">
            <v>0.4</v>
          </cell>
          <cell r="BD152">
            <v>17079.787233999999</v>
          </cell>
          <cell r="BE152">
            <v>17079.787233999999</v>
          </cell>
          <cell r="BF152">
            <v>0</v>
          </cell>
          <cell r="BG152">
            <v>0</v>
          </cell>
          <cell r="BH152">
            <v>0</v>
          </cell>
          <cell r="BI152">
            <v>1366.3829787200002</v>
          </cell>
          <cell r="BJ152">
            <v>1366.3829787200002</v>
          </cell>
          <cell r="BK152">
            <v>0</v>
          </cell>
          <cell r="BL152">
            <v>0</v>
          </cell>
          <cell r="BM152">
            <v>0</v>
          </cell>
          <cell r="BN152">
            <v>4.6980000000000004</v>
          </cell>
          <cell r="BO152">
            <v>4.6980000000000004</v>
          </cell>
          <cell r="BP152">
            <v>0</v>
          </cell>
          <cell r="BQ152">
            <v>0</v>
          </cell>
          <cell r="BR152">
            <v>0</v>
          </cell>
          <cell r="BS152">
            <v>0.37584000000000006</v>
          </cell>
          <cell r="BT152">
            <v>0.37584000000000006</v>
          </cell>
          <cell r="BU152">
            <v>0</v>
          </cell>
          <cell r="BV152">
            <v>0</v>
          </cell>
          <cell r="BW152">
            <v>0</v>
          </cell>
          <cell r="BX152" t="str">
            <v>可以</v>
          </cell>
          <cell r="BY152" t="str">
            <v>可以</v>
          </cell>
          <cell r="CC152" t="str">
            <v>(1) 預校熄火時間功能，煮食更簡易。
(2) 密封式爐頭設計，方便清潔又衛生。
(3) 火力高達5.0千瓦，兼備獨立芯火。
(4) 耐用強化玻璃面。
(5) 槽式火孔設計爐頭蓋，不易堵塞，方便清潔。</v>
          </cell>
          <cell r="CD152" t="str">
            <v>不適用</v>
          </cell>
          <cell r="CE152" t="str">
            <v>兩枚D型1.5V</v>
          </cell>
          <cell r="CF152" t="str">
            <v>爐底中央近左前方</v>
          </cell>
          <cell r="CG152" t="str">
            <v>天空藍強化玻璃
薰衣紫強化玻璃</v>
          </cell>
          <cell r="CH152" t="str">
            <v>旋鈕式</v>
          </cell>
          <cell r="CI152" t="str">
            <v>旋鈕式</v>
          </cell>
          <cell r="CJ152" t="str">
            <v>雙環 x 2</v>
          </cell>
          <cell r="CK152" t="str">
            <v>不適用</v>
          </cell>
          <cell r="CL152" t="str">
            <v>不適用</v>
          </cell>
          <cell r="CM152" t="str">
            <v>不適用</v>
          </cell>
          <cell r="CN152" t="str">
            <v>不適用</v>
          </cell>
          <cell r="CO152" t="str">
            <v>不適用</v>
          </cell>
          <cell r="CP152" t="str">
            <v>不適用</v>
          </cell>
          <cell r="CQ152" t="str">
            <v>不適用</v>
          </cell>
          <cell r="CR152" t="str">
            <v>圓形五邊承托架</v>
          </cell>
          <cell r="CS152" t="str">
            <v>請按此處</v>
          </cell>
          <cell r="CT152" t="str">
            <v>請按此處</v>
          </cell>
          <cell r="CU152"/>
          <cell r="CV152">
            <v>17</v>
          </cell>
          <cell r="CW152">
            <v>37.400000000000006</v>
          </cell>
          <cell r="CX152" t="str">
            <v>氣喉接駁位置：爐底後方右角
玻璃原產地：中國</v>
          </cell>
          <cell r="DF152" t="str">
            <v>貨源正常</v>
          </cell>
          <cell r="DG152" t="str">
            <v>請按此處</v>
          </cell>
        </row>
        <row r="153">
          <cell r="A153" t="str">
            <v>hzb62gmn_670</v>
          </cell>
          <cell r="B153" t="str">
            <v>停售</v>
          </cell>
          <cell r="E153" t="str">
            <v>TGC</v>
          </cell>
          <cell r="F153" t="str">
            <v>HZB62GMN</v>
          </cell>
          <cell r="G153" t="str">
            <v>HZB62GMN</v>
          </cell>
          <cell r="I153" t="str">
            <v>說明書</v>
          </cell>
          <cell r="K153" t="str">
            <v>2023年10月19日</v>
          </cell>
          <cell r="L153" t="str">
            <v>2025年5月31日</v>
          </cell>
          <cell r="M153" t="str">
            <v>中國</v>
          </cell>
          <cell r="N153" t="str">
            <v>已停售</v>
          </cell>
          <cell r="O153" t="str">
            <v>請按此處</v>
          </cell>
          <cell r="P153">
            <v>57</v>
          </cell>
          <cell r="Q153">
            <v>2.2440944881889764</v>
          </cell>
          <cell r="R153">
            <v>78</v>
          </cell>
          <cell r="S153">
            <v>3.0708661417322838</v>
          </cell>
          <cell r="T153">
            <v>131</v>
          </cell>
          <cell r="U153">
            <v>5.1574803149606305</v>
          </cell>
          <cell r="V153">
            <v>760</v>
          </cell>
          <cell r="W153">
            <v>29.921259842519685</v>
          </cell>
          <cell r="X153">
            <v>450</v>
          </cell>
          <cell r="Y153">
            <v>17.716535433070867</v>
          </cell>
          <cell r="AA153">
            <v>0</v>
          </cell>
          <cell r="AC153" t="str">
            <v>670 x 350 (26.4" x 13.8")</v>
          </cell>
          <cell r="AD153">
            <v>2</v>
          </cell>
          <cell r="AE153" t="str">
            <v>左</v>
          </cell>
          <cell r="AF153" t="str">
            <v>右</v>
          </cell>
          <cell r="AJ153">
            <v>18</v>
          </cell>
          <cell r="AK153">
            <v>18</v>
          </cell>
          <cell r="AL153">
            <v>0</v>
          </cell>
          <cell r="AM153">
            <v>0</v>
          </cell>
          <cell r="AN153">
            <v>0</v>
          </cell>
          <cell r="AO153">
            <v>2.16</v>
          </cell>
          <cell r="AP153">
            <v>2.16</v>
          </cell>
          <cell r="AQ153">
            <v>0</v>
          </cell>
          <cell r="AR153">
            <v>0</v>
          </cell>
          <cell r="AS153">
            <v>0</v>
          </cell>
          <cell r="AT153">
            <v>5</v>
          </cell>
          <cell r="AU153">
            <v>5</v>
          </cell>
          <cell r="AY153">
            <v>0.6</v>
          </cell>
          <cell r="AZ153">
            <v>0.6</v>
          </cell>
          <cell r="BD153">
            <v>17079.787233999999</v>
          </cell>
          <cell r="BE153">
            <v>17079.787233999999</v>
          </cell>
          <cell r="BF153">
            <v>0</v>
          </cell>
          <cell r="BG153">
            <v>0</v>
          </cell>
          <cell r="BH153">
            <v>0</v>
          </cell>
          <cell r="BI153">
            <v>2049.5744680799999</v>
          </cell>
          <cell r="BJ153">
            <v>2049.5744680799999</v>
          </cell>
          <cell r="BK153">
            <v>0</v>
          </cell>
          <cell r="BL153">
            <v>0</v>
          </cell>
          <cell r="BM153">
            <v>0</v>
          </cell>
          <cell r="BN153">
            <v>4.6980000000000004</v>
          </cell>
          <cell r="BO153">
            <v>4.6980000000000004</v>
          </cell>
          <cell r="BP153">
            <v>0</v>
          </cell>
          <cell r="BQ153">
            <v>0</v>
          </cell>
          <cell r="BR153">
            <v>0</v>
          </cell>
          <cell r="BS153">
            <v>0.56376000000000004</v>
          </cell>
          <cell r="BT153">
            <v>0.56376000000000004</v>
          </cell>
          <cell r="BU153">
            <v>0</v>
          </cell>
          <cell r="BV153">
            <v>0</v>
          </cell>
          <cell r="BW153">
            <v>0</v>
          </cell>
          <cell r="CD153" t="str">
            <v>不適用</v>
          </cell>
          <cell r="CE153" t="str">
            <v>兩枚D型1.5V</v>
          </cell>
          <cell r="CF153" t="str">
            <v>爐底右前方</v>
          </cell>
          <cell r="CG153" t="str">
            <v>強化玻璃</v>
          </cell>
          <cell r="CH153" t="str">
            <v>旋鈕式</v>
          </cell>
          <cell r="CI153" t="str">
            <v>旋鈕式</v>
          </cell>
          <cell r="CJ153" t="str">
            <v>雙環</v>
          </cell>
          <cell r="CK153" t="str">
            <v>不適用</v>
          </cell>
          <cell r="CL153" t="str">
            <v>不適用</v>
          </cell>
          <cell r="CM153" t="str">
            <v>不適用</v>
          </cell>
          <cell r="CN153" t="str">
            <v>不適用</v>
          </cell>
          <cell r="CP153" t="str">
            <v>不適用</v>
          </cell>
          <cell r="CQ153" t="str">
            <v>不適用</v>
          </cell>
          <cell r="CR153" t="str">
            <v>圓形五邊承托架</v>
          </cell>
          <cell r="CS153" t="str">
            <v>請按此處</v>
          </cell>
          <cell r="CT153" t="str">
            <v>請按此處</v>
          </cell>
          <cell r="CV153">
            <v>17</v>
          </cell>
          <cell r="CW153">
            <v>37.400000000000006</v>
          </cell>
          <cell r="CX153" t="str">
            <v>生產商：合勝
原產地：中國</v>
          </cell>
          <cell r="DF153"/>
        </row>
        <row r="154">
          <cell r="A154" t="str">
            <v>hzb62gmn_703</v>
          </cell>
          <cell r="B154" t="str">
            <v>停售</v>
          </cell>
          <cell r="E154" t="str">
            <v>TGC</v>
          </cell>
          <cell r="F154" t="str">
            <v>HZB62GMN</v>
          </cell>
          <cell r="G154" t="str">
            <v>HZB62GMN</v>
          </cell>
          <cell r="I154" t="str">
            <v>說明書</v>
          </cell>
          <cell r="K154" t="str">
            <v>2023年10月19日</v>
          </cell>
          <cell r="L154" t="str">
            <v>2025年5月31日</v>
          </cell>
          <cell r="M154" t="str">
            <v>中國</v>
          </cell>
          <cell r="N154" t="str">
            <v>已停售</v>
          </cell>
          <cell r="O154" t="str">
            <v>請按此處</v>
          </cell>
          <cell r="P154">
            <v>57</v>
          </cell>
          <cell r="Q154">
            <v>2.2440944881889764</v>
          </cell>
          <cell r="R154">
            <v>78</v>
          </cell>
          <cell r="S154">
            <v>3.0708661417322838</v>
          </cell>
          <cell r="T154">
            <v>131</v>
          </cell>
          <cell r="U154">
            <v>5.1574803149606305</v>
          </cell>
          <cell r="V154">
            <v>760</v>
          </cell>
          <cell r="W154">
            <v>29.921259842519685</v>
          </cell>
          <cell r="X154">
            <v>450</v>
          </cell>
          <cell r="Y154">
            <v>17.716535433070867</v>
          </cell>
          <cell r="AA154">
            <v>0</v>
          </cell>
          <cell r="AC154" t="str">
            <v>703 x 403 (27.7" x 15.9")</v>
          </cell>
          <cell r="AD154">
            <v>2</v>
          </cell>
          <cell r="AE154" t="str">
            <v>左</v>
          </cell>
          <cell r="AF154" t="str">
            <v>右</v>
          </cell>
          <cell r="AJ154">
            <v>18</v>
          </cell>
          <cell r="AK154">
            <v>18</v>
          </cell>
          <cell r="AL154">
            <v>0</v>
          </cell>
          <cell r="AM154">
            <v>0</v>
          </cell>
          <cell r="AN154">
            <v>0</v>
          </cell>
          <cell r="AO154">
            <v>2.16</v>
          </cell>
          <cell r="AP154">
            <v>2.16</v>
          </cell>
          <cell r="AQ154">
            <v>0</v>
          </cell>
          <cell r="AR154">
            <v>0</v>
          </cell>
          <cell r="AS154">
            <v>0</v>
          </cell>
          <cell r="AT154">
            <v>5</v>
          </cell>
          <cell r="AU154">
            <v>5</v>
          </cell>
          <cell r="AY154">
            <v>0.6</v>
          </cell>
          <cell r="AZ154">
            <v>0.6</v>
          </cell>
          <cell r="BD154">
            <v>17079.787233999999</v>
          </cell>
          <cell r="BE154">
            <v>17079.787233999999</v>
          </cell>
          <cell r="BF154">
            <v>0</v>
          </cell>
          <cell r="BG154">
            <v>0</v>
          </cell>
          <cell r="BH154">
            <v>0</v>
          </cell>
          <cell r="BI154">
            <v>2049.5744680799999</v>
          </cell>
          <cell r="BJ154">
            <v>2049.5744680799999</v>
          </cell>
          <cell r="BK154">
            <v>0</v>
          </cell>
          <cell r="BL154">
            <v>0</v>
          </cell>
          <cell r="BM154">
            <v>0</v>
          </cell>
          <cell r="BN154">
            <v>4.6980000000000004</v>
          </cell>
          <cell r="BO154">
            <v>4.6980000000000004</v>
          </cell>
          <cell r="BP154">
            <v>0</v>
          </cell>
          <cell r="BQ154">
            <v>0</v>
          </cell>
          <cell r="BR154">
            <v>0</v>
          </cell>
          <cell r="BS154">
            <v>0.56376000000000004</v>
          </cell>
          <cell r="BT154">
            <v>0.56376000000000004</v>
          </cell>
          <cell r="BU154">
            <v>0</v>
          </cell>
          <cell r="BV154">
            <v>0</v>
          </cell>
          <cell r="BW154">
            <v>0</v>
          </cell>
          <cell r="CD154" t="str">
            <v>不適用</v>
          </cell>
          <cell r="CE154" t="str">
            <v>兩枚D型1.5V</v>
          </cell>
          <cell r="CF154" t="str">
            <v>爐底右前方</v>
          </cell>
          <cell r="CG154" t="str">
            <v>強化玻璃</v>
          </cell>
          <cell r="CH154" t="str">
            <v>旋鈕式</v>
          </cell>
          <cell r="CI154" t="str">
            <v>旋鈕式</v>
          </cell>
          <cell r="CJ154" t="str">
            <v>雙環</v>
          </cell>
          <cell r="CK154" t="str">
            <v>不適用</v>
          </cell>
          <cell r="CL154" t="str">
            <v>不適用</v>
          </cell>
          <cell r="CM154" t="str">
            <v>不適用</v>
          </cell>
          <cell r="CN154" t="str">
            <v>不適用</v>
          </cell>
          <cell r="CP154" t="str">
            <v>不適用</v>
          </cell>
          <cell r="CQ154" t="str">
            <v>不適用</v>
          </cell>
          <cell r="CR154" t="str">
            <v>圓形五邊承托架</v>
          </cell>
          <cell r="CS154" t="str">
            <v>請按此處</v>
          </cell>
          <cell r="CT154" t="str">
            <v>請按此處</v>
          </cell>
          <cell r="CV154">
            <v>17</v>
          </cell>
          <cell r="CW154">
            <v>37.400000000000006</v>
          </cell>
          <cell r="CX154" t="str">
            <v>生產商：合勝
原產地：中國</v>
          </cell>
          <cell r="DF154"/>
        </row>
        <row r="155">
          <cell r="A155" t="str">
            <v>hzb53m</v>
          </cell>
          <cell r="B155" t="str">
            <v>停售</v>
          </cell>
          <cell r="E155" t="str">
            <v>Simpa</v>
          </cell>
          <cell r="F155" t="str">
            <v>HZB53M</v>
          </cell>
          <cell r="G155" t="str">
            <v xml:space="preserve"> </v>
          </cell>
          <cell r="K155" t="str">
            <v>2024年4月22日</v>
          </cell>
          <cell r="L155" t="str">
            <v>2026年3月25日</v>
          </cell>
          <cell r="M155" t="str">
            <v>中國</v>
          </cell>
          <cell r="N155" t="str">
            <v>已停售</v>
          </cell>
          <cell r="O155" t="str">
            <v>請按此處</v>
          </cell>
          <cell r="P155">
            <v>55</v>
          </cell>
          <cell r="Q155">
            <v>2.1653543307086616</v>
          </cell>
          <cell r="R155">
            <v>76</v>
          </cell>
          <cell r="S155">
            <v>2.9921259842519685</v>
          </cell>
          <cell r="T155">
            <v>125</v>
          </cell>
          <cell r="U155">
            <v>4.9212598425196852</v>
          </cell>
          <cell r="V155">
            <v>580</v>
          </cell>
          <cell r="W155">
            <v>22.834645669291341</v>
          </cell>
          <cell r="X155">
            <v>510</v>
          </cell>
          <cell r="Y155">
            <v>20.078740157480315</v>
          </cell>
          <cell r="AA155">
            <v>0</v>
          </cell>
          <cell r="AC155" t="str">
            <v>555 x 475 (21.9" x 18.7")</v>
          </cell>
          <cell r="AD155">
            <v>3</v>
          </cell>
          <cell r="AE155" t="str">
            <v>左上</v>
          </cell>
          <cell r="AF155" t="str">
            <v>左下</v>
          </cell>
          <cell r="AG155" t="str">
            <v>右</v>
          </cell>
          <cell r="AJ155">
            <v>9</v>
          </cell>
          <cell r="AK155">
            <v>4.6800000000000006</v>
          </cell>
          <cell r="AL155">
            <v>18</v>
          </cell>
          <cell r="AM155">
            <v>0</v>
          </cell>
          <cell r="AN155">
            <v>0</v>
          </cell>
          <cell r="AO155">
            <v>0</v>
          </cell>
          <cell r="AP155">
            <v>0</v>
          </cell>
          <cell r="AQ155">
            <v>0</v>
          </cell>
          <cell r="AR155">
            <v>0</v>
          </cell>
          <cell r="AS155">
            <v>0</v>
          </cell>
          <cell r="AT155">
            <v>2.5</v>
          </cell>
          <cell r="AU155">
            <v>1.3</v>
          </cell>
          <cell r="AV155">
            <v>5</v>
          </cell>
          <cell r="BD155">
            <v>8539.8936169999997</v>
          </cell>
          <cell r="BE155">
            <v>4440.74468084</v>
          </cell>
          <cell r="BF155">
            <v>17079.787233999999</v>
          </cell>
          <cell r="BG155">
            <v>0</v>
          </cell>
          <cell r="BH155">
            <v>0</v>
          </cell>
          <cell r="BI155">
            <v>0</v>
          </cell>
          <cell r="BJ155">
            <v>0</v>
          </cell>
          <cell r="BK155">
            <v>0</v>
          </cell>
          <cell r="BL155">
            <v>0</v>
          </cell>
          <cell r="BM155">
            <v>0</v>
          </cell>
          <cell r="BN155">
            <v>2.3490000000000002</v>
          </cell>
          <cell r="BO155">
            <v>1.2214800000000001</v>
          </cell>
          <cell r="BP155">
            <v>4.6980000000000004</v>
          </cell>
          <cell r="BQ155">
            <v>0</v>
          </cell>
          <cell r="BR155">
            <v>0</v>
          </cell>
          <cell r="BS155">
            <v>0</v>
          </cell>
          <cell r="BT155">
            <v>0</v>
          </cell>
          <cell r="BU155">
            <v>0</v>
          </cell>
          <cell r="BV155">
            <v>0</v>
          </cell>
          <cell r="BW155">
            <v>0</v>
          </cell>
          <cell r="BY155" t="str">
            <v>不可以</v>
          </cell>
          <cell r="BZ155" t="str">
            <v>不可以</v>
          </cell>
          <cell r="CC155" t="str">
            <v>1. 優質磨沙不銹鋼爐面，美觀耐用。
2. 鑄鐵爐架堅固耐用；銅合金爐頭蓋，表面加上黑色耐高溫塗層，清理容易。
3. 密封式爐頭，溢出物不會流入爐內，清理方便。
4. 橫向式氣體接頭，安裝靈活。</v>
          </cell>
          <cell r="CD155" t="str">
            <v>不適用</v>
          </cell>
          <cell r="CE155" t="str">
            <v>一枚D型1.5V</v>
          </cell>
          <cell r="CG155" t="str">
            <v>不銹鋼</v>
          </cell>
          <cell r="CH155" t="str">
            <v>旋鈕式</v>
          </cell>
          <cell r="CI155" t="str">
            <v>旋鈕式</v>
          </cell>
          <cell r="CJ155" t="str">
            <v>雙環</v>
          </cell>
          <cell r="CK155" t="str">
            <v>單環</v>
          </cell>
          <cell r="CL155" t="str">
            <v>不適用</v>
          </cell>
          <cell r="CM155" t="str">
            <v>單環</v>
          </cell>
          <cell r="CN155" t="str">
            <v>不適用</v>
          </cell>
          <cell r="CO155" t="str">
            <v>不適用</v>
          </cell>
          <cell r="CP155" t="str">
            <v>不適用</v>
          </cell>
          <cell r="CQ155" t="str">
            <v>不適用</v>
          </cell>
          <cell r="CR155" t="str">
            <v>長形爐架</v>
          </cell>
          <cell r="CS155" t="str">
            <v>請按此處</v>
          </cell>
          <cell r="CT155" t="str">
            <v>請按此處</v>
          </cell>
          <cell r="CV155">
            <v>13.5</v>
          </cell>
          <cell r="CW155">
            <v>29.700000000000003</v>
          </cell>
          <cell r="DF155"/>
        </row>
        <row r="156">
          <cell r="A156" t="str">
            <v>Mega-i2</v>
          </cell>
          <cell r="B156" t="str">
            <v>現售</v>
          </cell>
          <cell r="E156" t="str">
            <v>TGC</v>
          </cell>
          <cell r="F156" t="str">
            <v>MEGA-i2</v>
          </cell>
          <cell r="G156" t="str">
            <v>R2MF3 / R2MF4</v>
          </cell>
          <cell r="H156" t="str">
            <v xml:space="preserve">IoT (With Gateway) CU Code: RCCU2 </v>
          </cell>
          <cell r="I156" t="str">
            <v>IoT Ready 外置控制器(BLE)</v>
          </cell>
          <cell r="K156" t="str">
            <v>2025年4月14日</v>
          </cell>
          <cell r="M156" t="str">
            <v>日本</v>
          </cell>
          <cell r="N156" t="str">
            <v>$7,980 (帶鋰電池盒)</v>
          </cell>
          <cell r="O156" t="str">
            <v>請按此處</v>
          </cell>
          <cell r="P156">
            <v>67</v>
          </cell>
          <cell r="Q156">
            <v>2.6377952755905514</v>
          </cell>
          <cell r="R156">
            <v>78</v>
          </cell>
          <cell r="S156">
            <v>3.0708661417322838</v>
          </cell>
          <cell r="T156">
            <v>136</v>
          </cell>
          <cell r="U156">
            <v>5.3543307086614176</v>
          </cell>
          <cell r="V156">
            <v>738</v>
          </cell>
          <cell r="W156">
            <v>29.055118110236222</v>
          </cell>
          <cell r="X156">
            <v>439</v>
          </cell>
          <cell r="Y156">
            <v>17.283464566929133</v>
          </cell>
          <cell r="AA156">
            <v>0</v>
          </cell>
          <cell r="AC156" t="str">
            <v>703 x 403 (27.7" x 15.9")</v>
          </cell>
          <cell r="AD156">
            <v>2</v>
          </cell>
          <cell r="AE156" t="str">
            <v>左</v>
          </cell>
          <cell r="AF156" t="str">
            <v>右</v>
          </cell>
          <cell r="AJ156">
            <v>21.6</v>
          </cell>
          <cell r="AK156">
            <v>21.6</v>
          </cell>
          <cell r="AL156">
            <v>0</v>
          </cell>
          <cell r="AM156">
            <v>0</v>
          </cell>
          <cell r="AN156">
            <v>0</v>
          </cell>
          <cell r="AO156">
            <v>0</v>
          </cell>
          <cell r="AP156">
            <v>0</v>
          </cell>
          <cell r="AQ156">
            <v>0</v>
          </cell>
          <cell r="AR156">
            <v>0</v>
          </cell>
          <cell r="AS156">
            <v>0</v>
          </cell>
          <cell r="AT156">
            <v>6</v>
          </cell>
          <cell r="AU156">
            <v>6</v>
          </cell>
          <cell r="BD156">
            <v>20495.744680800002</v>
          </cell>
          <cell r="BE156">
            <v>20495.744680800002</v>
          </cell>
          <cell r="BF156">
            <v>0</v>
          </cell>
          <cell r="BG156">
            <v>0</v>
          </cell>
          <cell r="BH156">
            <v>0</v>
          </cell>
          <cell r="BI156">
            <v>0</v>
          </cell>
          <cell r="BJ156">
            <v>0</v>
          </cell>
          <cell r="BK156">
            <v>0</v>
          </cell>
          <cell r="BL156">
            <v>0</v>
          </cell>
          <cell r="BM156">
            <v>0</v>
          </cell>
          <cell r="BN156">
            <v>5.6376000000000008</v>
          </cell>
          <cell r="BO156">
            <v>5.6376000000000008</v>
          </cell>
          <cell r="BP156">
            <v>0</v>
          </cell>
          <cell r="BQ156">
            <v>0</v>
          </cell>
          <cell r="BR156">
            <v>0</v>
          </cell>
          <cell r="BS156">
            <v>0</v>
          </cell>
          <cell r="BT156">
            <v>0</v>
          </cell>
          <cell r="BU156">
            <v>0</v>
          </cell>
          <cell r="BV156">
            <v>0</v>
          </cell>
          <cell r="BW156">
            <v>0</v>
          </cell>
          <cell r="BX156" t="str">
            <v>可以</v>
          </cell>
          <cell r="BY156" t="str">
            <v>可以</v>
          </cell>
          <cell r="CC156" t="str">
            <v>1. 左右爐頭為 6 千瓦強勁雙環頭，獨立芯火，最低火力0.3千瓦，滿足各種煮食需要。
2. 定時煮食功能可多爐頭同時使用，按壓功能旋鈕可選擇設置不同的爐頭，轉動功能旋鈕可設定 1 分鐘至 4 小時自動熄火時間，煮食更方便。
3. 物聯網就緒﹝IoT- ready﹞設計，支援與配備智慧功能的抽油煙機進行藍牙聯動，但需加配外置控制器(BLE)及網關。
4. 達一級能源效益表現，節省能源。
5. 快易點火系統，旋鈕式火力控制，操作簡單靈活。
6. 配有黑色瓷玻璃及耐高溫塗層銅合金製爐頭蓋，槽式火孔及全密封爐頭，堅固耐用，清理容易。
7. 熄火安全裝置、防高溫保護裝置及預設 3 小時連續煮食自動熄火功能，確保安全。</v>
          </cell>
          <cell r="CD156" t="str">
            <v>不適用</v>
          </cell>
          <cell r="CE156" t="str">
            <v>2枚D型1.5V</v>
          </cell>
          <cell r="CG156" t="str">
            <v>黑色陶瓷玻璃配黑色框架
黑色陶瓷玻璃配銀色框架</v>
          </cell>
          <cell r="CH156" t="str">
            <v>旋鈕式</v>
          </cell>
          <cell r="CI156" t="str">
            <v>旋鈕式</v>
          </cell>
          <cell r="CJ156" t="str">
            <v>雙環</v>
          </cell>
          <cell r="CK156" t="str">
            <v>不適用</v>
          </cell>
          <cell r="CL156" t="str">
            <v>不適用</v>
          </cell>
          <cell r="CM156" t="str">
            <v>不適用</v>
          </cell>
          <cell r="CN156" t="str">
            <v>不適用</v>
          </cell>
          <cell r="CO156" t="str">
            <v>不適用</v>
          </cell>
          <cell r="CP156" t="str">
            <v>不適用</v>
          </cell>
          <cell r="CQ156" t="str">
            <v>不適用</v>
          </cell>
          <cell r="CR156" t="str">
            <v>圓形五邊承托</v>
          </cell>
          <cell r="CS156" t="str">
            <v>請按此處</v>
          </cell>
          <cell r="CT156" t="str">
            <v>請按此處</v>
          </cell>
          <cell r="CU156" t="str">
            <v>請按此處</v>
          </cell>
          <cell r="CV156">
            <v>14.5</v>
          </cell>
          <cell r="CW156">
            <v>31.900000000000002</v>
          </cell>
          <cell r="DF156" t="str">
            <v>貨源正常</v>
          </cell>
          <cell r="DG156" t="str">
            <v>請按此處</v>
          </cell>
        </row>
        <row r="157">
          <cell r="A157" t="str">
            <v>Mega-i3</v>
          </cell>
          <cell r="B157" t="str">
            <v>現售</v>
          </cell>
          <cell r="E157" t="str">
            <v>TGC</v>
          </cell>
          <cell r="F157" t="str">
            <v>MEGA-i3</v>
          </cell>
          <cell r="G157" t="str">
            <v xml:space="preserve">R3MF3 / R3MF4 </v>
          </cell>
          <cell r="H157" t="str">
            <v xml:space="preserve">IoT (With Gateway) CU Code: RCCU2 </v>
          </cell>
          <cell r="I157" t="str">
            <v>IoT Ready 外置控制器(BLE)</v>
          </cell>
          <cell r="K157" t="str">
            <v>2025年4月14日</v>
          </cell>
          <cell r="M157" t="str">
            <v>日本</v>
          </cell>
          <cell r="N157" t="str">
            <v>$8,780 (帶鋰電池盒)</v>
          </cell>
          <cell r="O157" t="str">
            <v>請按此處</v>
          </cell>
          <cell r="P157">
            <v>67</v>
          </cell>
          <cell r="Q157">
            <v>2.6377952755905514</v>
          </cell>
          <cell r="R157">
            <v>78</v>
          </cell>
          <cell r="S157">
            <v>3.0708661417322838</v>
          </cell>
          <cell r="T157">
            <v>136</v>
          </cell>
          <cell r="U157">
            <v>5.3543307086614176</v>
          </cell>
          <cell r="V157">
            <v>853</v>
          </cell>
          <cell r="W157">
            <v>33.582677165354333</v>
          </cell>
          <cell r="X157">
            <v>439</v>
          </cell>
          <cell r="Y157">
            <v>17.283464566929133</v>
          </cell>
          <cell r="AA157">
            <v>0</v>
          </cell>
          <cell r="AC157" t="str">
            <v>815 x 405 (32.1" x 15.9")</v>
          </cell>
          <cell r="AD157">
            <v>3</v>
          </cell>
          <cell r="AE157" t="str">
            <v>左</v>
          </cell>
          <cell r="AF157" t="str">
            <v>中</v>
          </cell>
          <cell r="AG157" t="str">
            <v>右</v>
          </cell>
          <cell r="AJ157">
            <v>21.6</v>
          </cell>
          <cell r="AK157">
            <v>10.08</v>
          </cell>
          <cell r="AL157">
            <v>21.6</v>
          </cell>
          <cell r="AM157">
            <v>0</v>
          </cell>
          <cell r="AN157">
            <v>0</v>
          </cell>
          <cell r="AO157">
            <v>0</v>
          </cell>
          <cell r="AP157">
            <v>0</v>
          </cell>
          <cell r="AQ157">
            <v>0</v>
          </cell>
          <cell r="AR157">
            <v>0</v>
          </cell>
          <cell r="AS157">
            <v>0</v>
          </cell>
          <cell r="AT157">
            <v>6</v>
          </cell>
          <cell r="AU157">
            <v>2.8</v>
          </cell>
          <cell r="AV157">
            <v>6</v>
          </cell>
          <cell r="BD157">
            <v>20495.744680800002</v>
          </cell>
          <cell r="BE157">
            <v>9564.6808510399987</v>
          </cell>
          <cell r="BF157">
            <v>20495.744680800002</v>
          </cell>
          <cell r="BG157">
            <v>0</v>
          </cell>
          <cell r="BH157">
            <v>0</v>
          </cell>
          <cell r="BI157">
            <v>0</v>
          </cell>
          <cell r="BJ157">
            <v>0</v>
          </cell>
          <cell r="BK157">
            <v>0</v>
          </cell>
          <cell r="BL157">
            <v>0</v>
          </cell>
          <cell r="BM157">
            <v>0</v>
          </cell>
          <cell r="BN157">
            <v>5.6376000000000008</v>
          </cell>
          <cell r="BO157">
            <v>2.6308800000000003</v>
          </cell>
          <cell r="BP157">
            <v>5.6376000000000008</v>
          </cell>
          <cell r="BQ157">
            <v>0</v>
          </cell>
          <cell r="BR157">
            <v>0</v>
          </cell>
          <cell r="BS157">
            <v>0</v>
          </cell>
          <cell r="BT157">
            <v>0</v>
          </cell>
          <cell r="BU157">
            <v>0</v>
          </cell>
          <cell r="BV157">
            <v>0</v>
          </cell>
          <cell r="BW157">
            <v>0</v>
          </cell>
          <cell r="CC157" t="str">
            <v>1. 左右爐頭為 6 千瓦強勁雙環頭，獨立芯火，最低火力0.3千瓦，滿足各種煮食需要。
2. 定時煮食功能可多爐頭同時使用，按壓功能旋鈕可選擇設置不同的爐頭，轉動功能旋鈕可設定 1 分鐘至 4 小時自動熄火時間，煮食更方便。
3. 物聯網就緒﹝IoT- ready﹞設計，支援與配備智慧功能的抽油煙機進行藍牙聯動，但需加配外置控制器(BLE)及網關。
4. 達一級能源效益表現，節省能源。
5. 快易點火系統，旋鈕式火力控制，操作簡單靈活。
6. 配有黑色瓷玻璃及耐高溫塗層銅合金製爐頭蓋，槽式火孔及全密封爐頭，堅固耐用，清理容易。
7. 熄火安全裝置、防高溫保護裝置及預設 3 小時連續煮食自動熄火功能，確保安全。</v>
          </cell>
          <cell r="CD157" t="str">
            <v>不適用</v>
          </cell>
          <cell r="CE157" t="str">
            <v>2枚D型1.5V</v>
          </cell>
          <cell r="CG157" t="str">
            <v>黑色陶瓷玻璃配黑色框架
黑色陶瓷玻璃配銀色框架</v>
          </cell>
          <cell r="CH157" t="str">
            <v>旋鈕式</v>
          </cell>
          <cell r="CI157" t="str">
            <v>旋鈕式</v>
          </cell>
          <cell r="CJ157" t="str">
            <v>雙環</v>
          </cell>
          <cell r="CK157" t="str">
            <v>不適用</v>
          </cell>
          <cell r="CL157" t="str">
            <v>不適用</v>
          </cell>
          <cell r="CM157" t="str">
            <v>單環</v>
          </cell>
          <cell r="CN157" t="str">
            <v>不適用</v>
          </cell>
          <cell r="CO157" t="str">
            <v>不適用</v>
          </cell>
          <cell r="CP157" t="str">
            <v>不適用</v>
          </cell>
          <cell r="CQ157" t="str">
            <v>不適用</v>
          </cell>
          <cell r="CR157" t="str">
            <v>圓形五邊承托</v>
          </cell>
          <cell r="CS157" t="str">
            <v>請按此處</v>
          </cell>
          <cell r="CT157" t="str">
            <v>請按此處</v>
          </cell>
          <cell r="CU157" t="str">
            <v>請按此處</v>
          </cell>
          <cell r="CV157">
            <v>15.5</v>
          </cell>
          <cell r="CW157">
            <v>34.1</v>
          </cell>
          <cell r="DF157" t="str">
            <v>貨源正常</v>
          </cell>
          <cell r="DG157" t="str">
            <v>請按此處</v>
          </cell>
        </row>
        <row r="158">
          <cell r="A158" t="str">
            <v>HZB62GT_670</v>
          </cell>
          <cell r="B158" t="str">
            <v>現售</v>
          </cell>
          <cell r="E158" t="str">
            <v>Simpa</v>
          </cell>
          <cell r="F158" t="str">
            <v>HZB62GT</v>
          </cell>
          <cell r="G158" t="str">
            <v>RSH3G</v>
          </cell>
          <cell r="K158" t="str">
            <v>2025年7月18日</v>
          </cell>
          <cell r="M158" t="str">
            <v>中國</v>
          </cell>
          <cell r="N158">
            <v>5430</v>
          </cell>
          <cell r="O158" t="str">
            <v>請按此處</v>
          </cell>
          <cell r="P158">
            <v>55</v>
          </cell>
          <cell r="Q158">
            <v>2.1653543307086616</v>
          </cell>
          <cell r="R158">
            <v>68</v>
          </cell>
          <cell r="S158">
            <v>2.6771653543307088</v>
          </cell>
          <cell r="T158">
            <v>131</v>
          </cell>
          <cell r="U158">
            <v>5.1574803149606305</v>
          </cell>
          <cell r="V158">
            <v>760</v>
          </cell>
          <cell r="W158">
            <v>29.921259842519685</v>
          </cell>
          <cell r="X158">
            <v>450</v>
          </cell>
          <cell r="Y158">
            <v>17.716535433070867</v>
          </cell>
          <cell r="AA158">
            <v>0</v>
          </cell>
          <cell r="AC158" t="str">
            <v>670 x 350 (26.4" x 13.8")</v>
          </cell>
          <cell r="AD158">
            <v>2</v>
          </cell>
          <cell r="AE158" t="str">
            <v>左</v>
          </cell>
          <cell r="AF158" t="str">
            <v>右</v>
          </cell>
          <cell r="AJ158">
            <v>18</v>
          </cell>
          <cell r="AK158">
            <v>18</v>
          </cell>
          <cell r="AL158">
            <v>0</v>
          </cell>
          <cell r="AM158">
            <v>0</v>
          </cell>
          <cell r="AN158">
            <v>0</v>
          </cell>
          <cell r="AO158">
            <v>0</v>
          </cell>
          <cell r="AP158">
            <v>0</v>
          </cell>
          <cell r="AQ158">
            <v>0</v>
          </cell>
          <cell r="AR158">
            <v>0</v>
          </cell>
          <cell r="AS158">
            <v>0</v>
          </cell>
          <cell r="AT158">
            <v>5</v>
          </cell>
          <cell r="AU158">
            <v>5</v>
          </cell>
          <cell r="BD158">
            <v>17079.787233999999</v>
          </cell>
          <cell r="BE158">
            <v>17079.787233999999</v>
          </cell>
          <cell r="BF158">
            <v>0</v>
          </cell>
          <cell r="BG158">
            <v>0</v>
          </cell>
          <cell r="BH158">
            <v>0</v>
          </cell>
          <cell r="BI158">
            <v>0</v>
          </cell>
          <cell r="BJ158">
            <v>0</v>
          </cell>
          <cell r="BK158">
            <v>0</v>
          </cell>
          <cell r="BL158">
            <v>0</v>
          </cell>
          <cell r="BM158">
            <v>0</v>
          </cell>
          <cell r="BN158">
            <v>4.6980000000000004</v>
          </cell>
          <cell r="BO158">
            <v>4.6980000000000004</v>
          </cell>
          <cell r="BP158">
            <v>0</v>
          </cell>
          <cell r="BQ158">
            <v>0</v>
          </cell>
          <cell r="BR158">
            <v>0</v>
          </cell>
          <cell r="BS158">
            <v>0</v>
          </cell>
          <cell r="BT158">
            <v>0</v>
          </cell>
          <cell r="BU158">
            <v>0</v>
          </cell>
          <cell r="BV158">
            <v>0</v>
          </cell>
          <cell r="BW158">
            <v>0</v>
          </cell>
          <cell r="BX158" t="str">
            <v>可以</v>
          </cell>
          <cell r="BY158" t="str">
            <v>可以</v>
          </cell>
          <cell r="CC158" t="str">
            <v>1. 左右爐頭採用 5 千瓦強勁雙環設計，配備獨立芯火，能滿足多種烹飪需求。
2. 爐架為雙層中空聚能盤設計，更有效將爐具熱能集中在鍋具，能源效益遠超一級能源效益標纖的要求，高效節能。
3. 聚能盤與爐架一體化設計，可避免聚能盤移位，或用戶錯誤用於其他型號爐具，杜絕安全隱患。
4. 定時煮食功能可設定 1 分鐘至 4 小時的自動熄火時間﹝左邊爐頭﹞，提升烹飪便利性。
連續煮食 4 小時自動熄火安全裝置。
5. 配備快易點火系統，旋鈕為獨特紫荊花線條，設計美觀，操作簡便靈活。
6. 爐面採用黑色強化玻璃，爐頭蓋由耐高溫塗層銅合金製成，堅固耐用。
7. 密封式爐頭有效防止溢出物流入內部，清理方便。
8. 熄火安全裝置及防高溫保護裝置確保安全。
9. 橫向式氣體接頭設計，安裝靈活。</v>
          </cell>
          <cell r="CD158" t="str">
            <v>不適用</v>
          </cell>
          <cell r="CE158" t="str">
            <v>2枚D型1.5V</v>
          </cell>
          <cell r="CG158" t="str">
            <v>黑色強化玻璃</v>
          </cell>
          <cell r="CH158" t="str">
            <v>旋鈕式</v>
          </cell>
          <cell r="CI158" t="str">
            <v>旋鈕式</v>
          </cell>
          <cell r="CJ158" t="str">
            <v>雙環</v>
          </cell>
          <cell r="CK158" t="str">
            <v>不適用</v>
          </cell>
          <cell r="CL158" t="str">
            <v>不適用</v>
          </cell>
          <cell r="CM158" t="str">
            <v>不適用</v>
          </cell>
          <cell r="CN158" t="str">
            <v>不適用</v>
          </cell>
          <cell r="CO158" t="str">
            <v>不適用</v>
          </cell>
          <cell r="CP158" t="str">
            <v>不適用</v>
          </cell>
          <cell r="CQ158" t="str">
            <v>不適用</v>
          </cell>
          <cell r="CR158" t="str">
            <v>圓形四邊承托</v>
          </cell>
          <cell r="CS158" t="str">
            <v>請按此處</v>
          </cell>
          <cell r="CT158" t="str">
            <v>請按此處</v>
          </cell>
          <cell r="CV158">
            <v>16</v>
          </cell>
          <cell r="CW158">
            <v>35.200000000000003</v>
          </cell>
          <cell r="CX158" t="str">
            <v>附送爐架適配件 1 個</v>
          </cell>
          <cell r="DF158" t="str">
            <v>貨源正常</v>
          </cell>
        </row>
        <row r="159">
          <cell r="A159" t="str">
            <v>HZB62GT_703</v>
          </cell>
          <cell r="B159" t="str">
            <v>現售</v>
          </cell>
          <cell r="E159" t="str">
            <v>Simpa</v>
          </cell>
          <cell r="F159" t="str">
            <v>HZB62GT</v>
          </cell>
          <cell r="G159" t="str">
            <v>RSH3G</v>
          </cell>
          <cell r="K159" t="str">
            <v>2025年7月18日</v>
          </cell>
          <cell r="M159" t="str">
            <v>中國</v>
          </cell>
          <cell r="N159">
            <v>5430</v>
          </cell>
          <cell r="O159" t="str">
            <v>請按此處</v>
          </cell>
          <cell r="P159">
            <v>55</v>
          </cell>
          <cell r="Q159">
            <v>2.1653543307086616</v>
          </cell>
          <cell r="R159">
            <v>68</v>
          </cell>
          <cell r="S159">
            <v>2.6771653543307088</v>
          </cell>
          <cell r="T159">
            <v>131</v>
          </cell>
          <cell r="U159">
            <v>5.1574803149606305</v>
          </cell>
          <cell r="V159">
            <v>760</v>
          </cell>
          <cell r="W159">
            <v>29.921259842519685</v>
          </cell>
          <cell r="X159">
            <v>450</v>
          </cell>
          <cell r="Y159">
            <v>17.716535433070867</v>
          </cell>
          <cell r="AA159">
            <v>0</v>
          </cell>
          <cell r="AC159" t="str">
            <v>703 x 403 (27.7" x 15.9")</v>
          </cell>
          <cell r="AD159">
            <v>2</v>
          </cell>
          <cell r="AE159" t="str">
            <v>左</v>
          </cell>
          <cell r="AF159" t="str">
            <v>右</v>
          </cell>
          <cell r="AJ159">
            <v>18</v>
          </cell>
          <cell r="AK159">
            <v>18</v>
          </cell>
          <cell r="AL159">
            <v>0</v>
          </cell>
          <cell r="AM159">
            <v>0</v>
          </cell>
          <cell r="AN159">
            <v>0</v>
          </cell>
          <cell r="AO159">
            <v>0</v>
          </cell>
          <cell r="AP159">
            <v>0</v>
          </cell>
          <cell r="AQ159">
            <v>0</v>
          </cell>
          <cell r="AR159">
            <v>0</v>
          </cell>
          <cell r="AS159">
            <v>0</v>
          </cell>
          <cell r="AT159">
            <v>5</v>
          </cell>
          <cell r="AU159">
            <v>5</v>
          </cell>
          <cell r="BD159">
            <v>17079.787233999999</v>
          </cell>
          <cell r="BE159">
            <v>17079.787233999999</v>
          </cell>
          <cell r="BF159">
            <v>0</v>
          </cell>
          <cell r="BG159">
            <v>0</v>
          </cell>
          <cell r="BH159">
            <v>0</v>
          </cell>
          <cell r="BI159">
            <v>0</v>
          </cell>
          <cell r="BJ159">
            <v>0</v>
          </cell>
          <cell r="BK159">
            <v>0</v>
          </cell>
          <cell r="BL159">
            <v>0</v>
          </cell>
          <cell r="BM159">
            <v>0</v>
          </cell>
          <cell r="BN159">
            <v>4.6980000000000004</v>
          </cell>
          <cell r="BO159">
            <v>4.6980000000000004</v>
          </cell>
          <cell r="BP159">
            <v>0</v>
          </cell>
          <cell r="BQ159">
            <v>0</v>
          </cell>
          <cell r="BR159">
            <v>0</v>
          </cell>
          <cell r="BS159">
            <v>0</v>
          </cell>
          <cell r="BT159">
            <v>0</v>
          </cell>
          <cell r="BU159">
            <v>0</v>
          </cell>
          <cell r="BV159">
            <v>0</v>
          </cell>
          <cell r="BW159">
            <v>0</v>
          </cell>
          <cell r="BX159" t="str">
            <v>可以</v>
          </cell>
          <cell r="BY159" t="str">
            <v>可以</v>
          </cell>
          <cell r="CC159" t="str">
            <v>1. 左右爐頭採用 5 千瓦強勁雙環設計，配備獨立芯火，能滿足多種烹飪需求。
2. 爐架為雙層中空聚能盤設計，更有效將爐具熱能集中在鍋具，能源效益遠超一級能源效益標纖的要求，高效節能。
3. 聚能盤與爐架一體化設計，可避免聚能盤移位，或用戶錯誤用於其他型號爐具，杜絕安全隱患。
4. 定時煮食功能可設定 1 分鐘至 4 小時的自動熄火時間﹝左邊爐頭﹞，提升烹飪便利性。
連續煮食 4 小時自動熄火安全裝置。
5. 配備快易點火系統，旋鈕為獨特紫荊花線條，設計美觀，操作簡便靈活。
6. 爐面採用黑色強化玻璃，爐頭蓋由耐高溫塗層銅合金製成，堅固耐用。
7. 密封式爐頭有效防止溢出物流入內部，清理方便。
8. 熄火安全裝置及防高溫保護裝置確保安全。
9. 橫向式氣體接頭設計，安裝靈活。</v>
          </cell>
          <cell r="CD159" t="str">
            <v>不適用</v>
          </cell>
          <cell r="CE159" t="str">
            <v>2枚D型1.5V</v>
          </cell>
          <cell r="CG159" t="str">
            <v>黑色強化玻璃</v>
          </cell>
          <cell r="CH159" t="str">
            <v>旋鈕式</v>
          </cell>
          <cell r="CI159" t="str">
            <v>旋鈕式</v>
          </cell>
          <cell r="CJ159" t="str">
            <v>雙環</v>
          </cell>
          <cell r="CK159" t="str">
            <v>不適用</v>
          </cell>
          <cell r="CL159" t="str">
            <v>不適用</v>
          </cell>
          <cell r="CM159" t="str">
            <v>不適用</v>
          </cell>
          <cell r="CN159" t="str">
            <v>不適用</v>
          </cell>
          <cell r="CO159" t="str">
            <v>不適用</v>
          </cell>
          <cell r="CP159" t="str">
            <v>不適用</v>
          </cell>
          <cell r="CQ159" t="str">
            <v>不適用</v>
          </cell>
          <cell r="CR159" t="str">
            <v>圓形四邊承托</v>
          </cell>
          <cell r="CS159" t="str">
            <v>請按此處</v>
          </cell>
          <cell r="CT159" t="str">
            <v>請按此處</v>
          </cell>
          <cell r="CV159">
            <v>16</v>
          </cell>
          <cell r="CW159">
            <v>35.200000000000003</v>
          </cell>
          <cell r="CX159" t="str">
            <v>附送爐架適配件 1 個</v>
          </cell>
          <cell r="DF159" t="str">
            <v>貨源正常</v>
          </cell>
        </row>
        <row r="160">
          <cell r="A160" t="str">
            <v>HZB62M1_670</v>
          </cell>
          <cell r="B160" t="str">
            <v>現售</v>
          </cell>
          <cell r="E160" t="str">
            <v>Simpa</v>
          </cell>
          <cell r="F160" t="str">
            <v>HZB62M1</v>
          </cell>
          <cell r="G160" t="str">
            <v>RSH3M</v>
          </cell>
          <cell r="K160" t="str">
            <v>2025年7月18日</v>
          </cell>
          <cell r="M160" t="str">
            <v>中國</v>
          </cell>
          <cell r="N160">
            <v>3980</v>
          </cell>
          <cell r="O160" t="str">
            <v>請按此處</v>
          </cell>
          <cell r="P160">
            <v>55</v>
          </cell>
          <cell r="Q160">
            <v>2.1653543307086616</v>
          </cell>
          <cell r="R160">
            <v>66</v>
          </cell>
          <cell r="S160">
            <v>2.598425196850394</v>
          </cell>
          <cell r="T160">
            <v>125</v>
          </cell>
          <cell r="U160">
            <v>4.9212598425196852</v>
          </cell>
          <cell r="V160">
            <v>730</v>
          </cell>
          <cell r="W160">
            <v>28.740157480314963</v>
          </cell>
          <cell r="X160">
            <v>420</v>
          </cell>
          <cell r="Y160">
            <v>16.535433070866144</v>
          </cell>
          <cell r="AA160">
            <v>0</v>
          </cell>
          <cell r="AC160" t="str">
            <v>670 x 350 (26.4" x 13.8")</v>
          </cell>
          <cell r="AD160">
            <v>2</v>
          </cell>
          <cell r="AE160" t="str">
            <v>左</v>
          </cell>
          <cell r="AF160" t="str">
            <v>右</v>
          </cell>
          <cell r="AJ160">
            <v>18</v>
          </cell>
          <cell r="AK160">
            <v>18</v>
          </cell>
          <cell r="AL160">
            <v>0</v>
          </cell>
          <cell r="AM160">
            <v>0</v>
          </cell>
          <cell r="AN160">
            <v>0</v>
          </cell>
          <cell r="AO160">
            <v>0</v>
          </cell>
          <cell r="AP160">
            <v>0</v>
          </cell>
          <cell r="AQ160">
            <v>0</v>
          </cell>
          <cell r="AR160">
            <v>0</v>
          </cell>
          <cell r="AS160">
            <v>0</v>
          </cell>
          <cell r="AT160">
            <v>5</v>
          </cell>
          <cell r="AU160">
            <v>5</v>
          </cell>
          <cell r="BD160">
            <v>17079.787233999999</v>
          </cell>
          <cell r="BE160">
            <v>17079.787233999999</v>
          </cell>
          <cell r="BF160">
            <v>0</v>
          </cell>
          <cell r="BG160">
            <v>0</v>
          </cell>
          <cell r="BH160">
            <v>0</v>
          </cell>
          <cell r="BI160">
            <v>0</v>
          </cell>
          <cell r="BJ160">
            <v>0</v>
          </cell>
          <cell r="BK160">
            <v>0</v>
          </cell>
          <cell r="BL160">
            <v>0</v>
          </cell>
          <cell r="BM160">
            <v>0</v>
          </cell>
          <cell r="BN160">
            <v>4.6980000000000004</v>
          </cell>
          <cell r="BO160">
            <v>4.6980000000000004</v>
          </cell>
          <cell r="BP160">
            <v>0</v>
          </cell>
          <cell r="BQ160">
            <v>0</v>
          </cell>
          <cell r="BR160">
            <v>0</v>
          </cell>
          <cell r="BS160">
            <v>0</v>
          </cell>
          <cell r="BT160">
            <v>0</v>
          </cell>
          <cell r="BU160">
            <v>0</v>
          </cell>
          <cell r="BV160">
            <v>0</v>
          </cell>
          <cell r="BW160">
            <v>0</v>
          </cell>
          <cell r="BX160" t="str">
            <v>可以</v>
          </cell>
          <cell r="BY160" t="str">
            <v>可以</v>
          </cell>
          <cell r="CC160" t="str">
            <v>1. 鋁合金爐頭座有更佳的防銹效果，外觀提升及便利維修保養。
2. 左右爐頭採用 5 千瓦強勁雙環設計，配備獨立芯火，能滿足多種烹飪需求。
3. 配備快易點火系統，操作簡便靈活。
4. 爐面採用優質磨沙不銹鋼，美觀耐用。
5. 爐頭蓋由耐高溫塗層銅合金製成，表面加上黑色耐高溫塗層，堅固耐用，清理容易。
6. 密封式爐頭有效防止溢出物流入內部，清理方便。
7. 橫向式氣體接頭設計，安裝靈活。</v>
          </cell>
          <cell r="CD160" t="str">
            <v>不適用</v>
          </cell>
          <cell r="CE160" t="str">
            <v>1枚D型1.5V</v>
          </cell>
          <cell r="CG160" t="str">
            <v>黑色磨沙不銹鋼</v>
          </cell>
          <cell r="CH160" t="str">
            <v>旋鈕式</v>
          </cell>
          <cell r="CI160" t="str">
            <v>旋鈕式</v>
          </cell>
          <cell r="CJ160" t="str">
            <v>雙環</v>
          </cell>
          <cell r="CK160" t="str">
            <v>不適用</v>
          </cell>
          <cell r="CL160" t="str">
            <v>不適用</v>
          </cell>
          <cell r="CM160" t="str">
            <v>不適用</v>
          </cell>
          <cell r="CN160" t="str">
            <v>不適用</v>
          </cell>
          <cell r="CO160" t="str">
            <v>不適用</v>
          </cell>
          <cell r="CP160" t="str">
            <v>不適用</v>
          </cell>
          <cell r="CQ160" t="str">
            <v>不適用</v>
          </cell>
          <cell r="CR160" t="str">
            <v>圓形五邊承托</v>
          </cell>
          <cell r="CS160" t="str">
            <v>請按此處</v>
          </cell>
          <cell r="CT160" t="str">
            <v>請按此處</v>
          </cell>
          <cell r="CV160">
            <v>11</v>
          </cell>
          <cell r="CW160">
            <v>24.200000000000003</v>
          </cell>
          <cell r="DF160" t="str">
            <v>貨源正常</v>
          </cell>
        </row>
        <row r="161">
          <cell r="A161" t="str">
            <v>HZB62M1_703</v>
          </cell>
          <cell r="B161" t="str">
            <v>現售</v>
          </cell>
          <cell r="E161" t="str">
            <v>Simpa</v>
          </cell>
          <cell r="F161" t="str">
            <v>HZB62M1</v>
          </cell>
          <cell r="G161" t="str">
            <v>RSH3M</v>
          </cell>
          <cell r="K161" t="str">
            <v>2025年7月18日</v>
          </cell>
          <cell r="M161" t="str">
            <v>中國</v>
          </cell>
          <cell r="N161">
            <v>3980</v>
          </cell>
          <cell r="O161" t="str">
            <v>請按此處</v>
          </cell>
          <cell r="P161">
            <v>55</v>
          </cell>
          <cell r="Q161">
            <v>2.1653543307086616</v>
          </cell>
          <cell r="R161">
            <v>66</v>
          </cell>
          <cell r="S161">
            <v>2.598425196850394</v>
          </cell>
          <cell r="T161">
            <v>125</v>
          </cell>
          <cell r="U161">
            <v>4.9212598425196852</v>
          </cell>
          <cell r="V161">
            <v>730</v>
          </cell>
          <cell r="W161">
            <v>28.740157480314963</v>
          </cell>
          <cell r="X161">
            <v>420</v>
          </cell>
          <cell r="Y161">
            <v>16.535433070866144</v>
          </cell>
          <cell r="AA161">
            <v>0</v>
          </cell>
          <cell r="AC161" t="str">
            <v>703 x 403 (27.7" x 15.9")</v>
          </cell>
          <cell r="AD161">
            <v>2</v>
          </cell>
          <cell r="AE161" t="str">
            <v>左</v>
          </cell>
          <cell r="AF161" t="str">
            <v>右</v>
          </cell>
          <cell r="AJ161">
            <v>18</v>
          </cell>
          <cell r="AK161">
            <v>18</v>
          </cell>
          <cell r="AL161">
            <v>0</v>
          </cell>
          <cell r="AM161">
            <v>0</v>
          </cell>
          <cell r="AN161">
            <v>0</v>
          </cell>
          <cell r="AO161">
            <v>0</v>
          </cell>
          <cell r="AP161">
            <v>0</v>
          </cell>
          <cell r="AQ161">
            <v>0</v>
          </cell>
          <cell r="AR161">
            <v>0</v>
          </cell>
          <cell r="AS161">
            <v>0</v>
          </cell>
          <cell r="AT161">
            <v>5</v>
          </cell>
          <cell r="AU161">
            <v>5</v>
          </cell>
          <cell r="BD161">
            <v>17079.787233999999</v>
          </cell>
          <cell r="BE161">
            <v>17079.787233999999</v>
          </cell>
          <cell r="BF161">
            <v>0</v>
          </cell>
          <cell r="BG161">
            <v>0</v>
          </cell>
          <cell r="BH161">
            <v>0</v>
          </cell>
          <cell r="BI161">
            <v>0</v>
          </cell>
          <cell r="BJ161">
            <v>0</v>
          </cell>
          <cell r="BK161">
            <v>0</v>
          </cell>
          <cell r="BL161">
            <v>0</v>
          </cell>
          <cell r="BM161">
            <v>0</v>
          </cell>
          <cell r="BN161">
            <v>4.6980000000000004</v>
          </cell>
          <cell r="BO161">
            <v>4.6980000000000004</v>
          </cell>
          <cell r="BP161">
            <v>0</v>
          </cell>
          <cell r="BQ161">
            <v>0</v>
          </cell>
          <cell r="BR161">
            <v>0</v>
          </cell>
          <cell r="BS161">
            <v>0</v>
          </cell>
          <cell r="BT161">
            <v>0</v>
          </cell>
          <cell r="BU161">
            <v>0</v>
          </cell>
          <cell r="BV161">
            <v>0</v>
          </cell>
          <cell r="BW161">
            <v>0</v>
          </cell>
          <cell r="BX161" t="str">
            <v>可以</v>
          </cell>
          <cell r="BY161" t="str">
            <v>可以</v>
          </cell>
          <cell r="CC161" t="str">
            <v>1. 鋁合金爐頭座有更佳的防銹效果，外觀提升及便利維修保養。
2. 左右爐頭採用 5 千瓦強勁雙環設計，配備獨立芯火，能滿足多種烹飪需求。
3. 配備快易點火系統，操作簡便靈活。
4. 爐面採用優質磨沙不銹鋼，美觀耐用。
5. 爐頭蓋由耐高溫塗層銅合金製成，表面加上黑色耐高溫塗層，堅固耐用，清理容易。
6. 密封式爐頭有效防止溢出物流入內部，清理方便。
7. 橫向式氣體接頭設計，安裝靈活。</v>
          </cell>
          <cell r="CD161" t="str">
            <v>不適用</v>
          </cell>
          <cell r="CE161" t="str">
            <v>1枚D型1.5V</v>
          </cell>
          <cell r="CG161" t="str">
            <v>黑色磨沙不銹鋼</v>
          </cell>
          <cell r="CH161" t="str">
            <v>旋鈕式</v>
          </cell>
          <cell r="CI161" t="str">
            <v>旋鈕式</v>
          </cell>
          <cell r="CJ161" t="str">
            <v>雙環</v>
          </cell>
          <cell r="CK161" t="str">
            <v>不適用</v>
          </cell>
          <cell r="CL161" t="str">
            <v>不適用</v>
          </cell>
          <cell r="CM161" t="str">
            <v>不適用</v>
          </cell>
          <cell r="CN161" t="str">
            <v>不適用</v>
          </cell>
          <cell r="CO161" t="str">
            <v>不適用</v>
          </cell>
          <cell r="CP161" t="str">
            <v>不適用</v>
          </cell>
          <cell r="CQ161" t="str">
            <v>不適用</v>
          </cell>
          <cell r="CR161" t="str">
            <v>圓形五邊承托</v>
          </cell>
          <cell r="CS161" t="str">
            <v>請按此處</v>
          </cell>
          <cell r="CT161" t="str">
            <v>請按此處</v>
          </cell>
          <cell r="CV161">
            <v>11</v>
          </cell>
          <cell r="CW161">
            <v>24.200000000000003</v>
          </cell>
          <cell r="DF161" t="str">
            <v>貨源正常</v>
          </cell>
        </row>
        <row r="162">
          <cell r="A162" t="str">
            <v>hzb62gtn_670</v>
          </cell>
          <cell r="B162" t="str">
            <v>現售</v>
          </cell>
          <cell r="E162" t="str">
            <v>TGC</v>
          </cell>
          <cell r="F162" t="str">
            <v>HZB62GTN</v>
          </cell>
          <cell r="G162" t="str">
            <v>RSH24</v>
          </cell>
          <cell r="H162" t="str">
            <v>網關 - RSAG2</v>
          </cell>
          <cell r="K162" t="str">
            <v>2025年7月21日</v>
          </cell>
          <cell r="M162" t="str">
            <v>中國</v>
          </cell>
          <cell r="N162" t="str">
            <v>$6,280 (包鋰電池儲電器) (不包網關)</v>
          </cell>
          <cell r="O162" t="str">
            <v>請按此處</v>
          </cell>
          <cell r="P162">
            <v>55</v>
          </cell>
          <cell r="Q162">
            <v>2.1653543307086616</v>
          </cell>
          <cell r="R162">
            <v>67</v>
          </cell>
          <cell r="S162">
            <v>2.6377952755905514</v>
          </cell>
          <cell r="T162">
            <v>129</v>
          </cell>
          <cell r="U162">
            <v>5.0787401574803148</v>
          </cell>
          <cell r="V162">
            <v>760</v>
          </cell>
          <cell r="W162">
            <v>29.921259842519685</v>
          </cell>
          <cell r="X162">
            <v>450</v>
          </cell>
          <cell r="Y162">
            <v>17.716535433070867</v>
          </cell>
          <cell r="AA162">
            <v>0</v>
          </cell>
          <cell r="AC162" t="str">
            <v>670 x 350 (26.4" x 13.8")</v>
          </cell>
          <cell r="AD162">
            <v>2</v>
          </cell>
          <cell r="AE162" t="str">
            <v>左</v>
          </cell>
          <cell r="AF162" t="str">
            <v>右</v>
          </cell>
          <cell r="AJ162">
            <v>18</v>
          </cell>
          <cell r="AK162">
            <v>18</v>
          </cell>
          <cell r="AL162">
            <v>0</v>
          </cell>
          <cell r="AM162">
            <v>0</v>
          </cell>
          <cell r="AN162">
            <v>0</v>
          </cell>
          <cell r="AO162">
            <v>1.8</v>
          </cell>
          <cell r="AP162">
            <v>1.8</v>
          </cell>
          <cell r="AQ162">
            <v>0</v>
          </cell>
          <cell r="AR162">
            <v>0</v>
          </cell>
          <cell r="AS162">
            <v>0</v>
          </cell>
          <cell r="AT162">
            <v>5</v>
          </cell>
          <cell r="AU162">
            <v>5</v>
          </cell>
          <cell r="AY162">
            <v>0.5</v>
          </cell>
          <cell r="AZ162">
            <v>0.5</v>
          </cell>
          <cell r="BD162">
            <v>17079.787233999999</v>
          </cell>
          <cell r="BE162">
            <v>17079.787233999999</v>
          </cell>
          <cell r="BF162">
            <v>0</v>
          </cell>
          <cell r="BG162">
            <v>0</v>
          </cell>
          <cell r="BH162">
            <v>0</v>
          </cell>
          <cell r="BI162">
            <v>1707.9787234</v>
          </cell>
          <cell r="BJ162">
            <v>1707.9787234</v>
          </cell>
          <cell r="BK162">
            <v>0</v>
          </cell>
          <cell r="BL162">
            <v>0</v>
          </cell>
          <cell r="BM162">
            <v>0</v>
          </cell>
          <cell r="BN162">
            <v>4.6980000000000004</v>
          </cell>
          <cell r="BO162">
            <v>4.6980000000000004</v>
          </cell>
          <cell r="BP162">
            <v>0</v>
          </cell>
          <cell r="BQ162">
            <v>0</v>
          </cell>
          <cell r="BR162">
            <v>0</v>
          </cell>
          <cell r="BS162">
            <v>0.46980000000000005</v>
          </cell>
          <cell r="BT162">
            <v>0.46980000000000005</v>
          </cell>
          <cell r="BU162">
            <v>0</v>
          </cell>
          <cell r="BV162">
            <v>0</v>
          </cell>
          <cell r="BW162">
            <v>0</v>
          </cell>
          <cell r="BX162" t="str">
            <v>可以</v>
          </cell>
          <cell r="BY162" t="str">
            <v>可以</v>
          </cell>
          <cell r="CC162" t="str">
            <v>1. 物聯網(IoT)功能升級，配合第二代網關﹝貨號 378516﹞，可與智慧抽油煙機實現火力與風量聯動操作。
2. 配備智慧功能，不但功能透過手機應用程式(APP)監察爐具狀態，亦會於每30分鐘提醒客戶爐具正在使用於客戶離家時發出離家報警提示。
3. 實體雙時間掣，能為左右爐頭獨立預設熄火時間，全面掌握煮食時間。
4. 左右 5 千瓦雙環爐頭，最低火力 0.5 千瓦，兼備獨立芯火及快易點火系統，滿足各式烹調要求。
5. 五腳釩鐵爐架配上耐高溫塗層處理的銅合金爐頭，美觀耐用，清理容易。
6. 適合 670 x 350 毫米和 703 x 403毫米枱面開孔，橫向式氣體接頭，安裝靈活。
7. 達一級能源效益表現，節省能源。</v>
          </cell>
          <cell r="CD162" t="str">
            <v>不適用</v>
          </cell>
          <cell r="CE162" t="str">
            <v>兩枚D型1.5V</v>
          </cell>
          <cell r="CG162" t="str">
            <v>黑色強化玻璃</v>
          </cell>
          <cell r="CH162" t="str">
            <v>旋鈕式</v>
          </cell>
          <cell r="CI162" t="str">
            <v>旋鈕式</v>
          </cell>
          <cell r="CJ162" t="str">
            <v>雙環</v>
          </cell>
          <cell r="CK162" t="str">
            <v>不適用</v>
          </cell>
          <cell r="CL162" t="str">
            <v>不適用</v>
          </cell>
          <cell r="CM162" t="str">
            <v>不適用</v>
          </cell>
          <cell r="CN162" t="str">
            <v>不適用</v>
          </cell>
          <cell r="CO162" t="str">
            <v>不適用</v>
          </cell>
          <cell r="CP162" t="str">
            <v>不適用</v>
          </cell>
          <cell r="CQ162" t="str">
            <v>不適用</v>
          </cell>
          <cell r="CR162" t="str">
            <v>圓形五邊承托</v>
          </cell>
          <cell r="CS162" t="str">
            <v>請按此處</v>
          </cell>
          <cell r="CT162" t="str">
            <v>請按此處</v>
          </cell>
          <cell r="CV162">
            <v>17</v>
          </cell>
          <cell r="CW162">
            <v>37.400000000000006</v>
          </cell>
          <cell r="CX162" t="str">
            <v>連續煮食自動熄火安全裝置：4 小時。</v>
          </cell>
          <cell r="DF162" t="str">
            <v>(以Siebel內Product的Control Sales Msg為準)</v>
          </cell>
          <cell r="DG162" t="str">
            <v>請按此處</v>
          </cell>
        </row>
        <row r="163">
          <cell r="A163" t="str">
            <v>hzb62gtn_703</v>
          </cell>
          <cell r="B163" t="str">
            <v>現售</v>
          </cell>
          <cell r="E163" t="str">
            <v>TGC</v>
          </cell>
          <cell r="F163" t="str">
            <v>HZB62GTN</v>
          </cell>
          <cell r="G163" t="str">
            <v>RSH24</v>
          </cell>
          <cell r="H163" t="str">
            <v>網關 - RSAG2</v>
          </cell>
          <cell r="K163" t="str">
            <v>2025年7月21日</v>
          </cell>
          <cell r="M163" t="str">
            <v>中國</v>
          </cell>
          <cell r="N163" t="str">
            <v>$6,280 (包鋰電池儲電器) (不包網關)</v>
          </cell>
          <cell r="O163" t="str">
            <v>請按此處</v>
          </cell>
          <cell r="P163">
            <v>55</v>
          </cell>
          <cell r="Q163">
            <v>2.1653543307086616</v>
          </cell>
          <cell r="R163">
            <v>67</v>
          </cell>
          <cell r="S163">
            <v>2.6377952755905514</v>
          </cell>
          <cell r="T163">
            <v>129</v>
          </cell>
          <cell r="U163">
            <v>5.0787401574803148</v>
          </cell>
          <cell r="V163">
            <v>760</v>
          </cell>
          <cell r="W163">
            <v>29.921259842519685</v>
          </cell>
          <cell r="X163">
            <v>450</v>
          </cell>
          <cell r="Y163">
            <v>17.716535433070867</v>
          </cell>
          <cell r="AA163">
            <v>0</v>
          </cell>
          <cell r="AC163" t="str">
            <v>703 x 403 (27.7" x 15.9")</v>
          </cell>
          <cell r="AD163">
            <v>2</v>
          </cell>
          <cell r="AE163" t="str">
            <v>左</v>
          </cell>
          <cell r="AF163" t="str">
            <v>右</v>
          </cell>
          <cell r="AJ163">
            <v>18</v>
          </cell>
          <cell r="AK163">
            <v>18</v>
          </cell>
          <cell r="AL163">
            <v>0</v>
          </cell>
          <cell r="AM163">
            <v>0</v>
          </cell>
          <cell r="AN163">
            <v>0</v>
          </cell>
          <cell r="AO163">
            <v>1.8</v>
          </cell>
          <cell r="AP163">
            <v>1.8</v>
          </cell>
          <cell r="AQ163">
            <v>0</v>
          </cell>
          <cell r="AR163">
            <v>0</v>
          </cell>
          <cell r="AS163">
            <v>0</v>
          </cell>
          <cell r="AT163">
            <v>5</v>
          </cell>
          <cell r="AU163">
            <v>5</v>
          </cell>
          <cell r="AY163">
            <v>0.5</v>
          </cell>
          <cell r="AZ163">
            <v>0.5</v>
          </cell>
          <cell r="BD163">
            <v>17079.787233999999</v>
          </cell>
          <cell r="BE163">
            <v>17079.787233999999</v>
          </cell>
          <cell r="BF163">
            <v>0</v>
          </cell>
          <cell r="BG163">
            <v>0</v>
          </cell>
          <cell r="BH163">
            <v>0</v>
          </cell>
          <cell r="BI163">
            <v>1707.9787234</v>
          </cell>
          <cell r="BJ163">
            <v>1707.9787234</v>
          </cell>
          <cell r="BK163">
            <v>0</v>
          </cell>
          <cell r="BL163">
            <v>0</v>
          </cell>
          <cell r="BM163">
            <v>0</v>
          </cell>
          <cell r="BN163">
            <v>4.6980000000000004</v>
          </cell>
          <cell r="BO163">
            <v>4.6980000000000004</v>
          </cell>
          <cell r="BP163">
            <v>0</v>
          </cell>
          <cell r="BQ163">
            <v>0</v>
          </cell>
          <cell r="BR163">
            <v>0</v>
          </cell>
          <cell r="BS163">
            <v>0.46980000000000005</v>
          </cell>
          <cell r="BT163">
            <v>0.46980000000000005</v>
          </cell>
          <cell r="BU163">
            <v>0</v>
          </cell>
          <cell r="BV163">
            <v>0</v>
          </cell>
          <cell r="BW163">
            <v>0</v>
          </cell>
          <cell r="BX163" t="str">
            <v>可以</v>
          </cell>
          <cell r="BY163" t="str">
            <v>可以</v>
          </cell>
          <cell r="CC163" t="str">
            <v>1. 物聯網(IoT)功能升級，配合第二代網關﹝貨號 378516﹞，可與智慧抽油煙機實現火力與風量聯動操作。
2. 配備智慧功能，不但功能透過手機應用程式(APP)監察爐具狀態，亦會於每30分鐘提醒客戶爐具正在使用於客戶離家時發出離家報警提示。
3. 實體雙時間掣，能為左右爐頭獨立預設熄火時間，全面掌握煮食時間。
4. 左右 5 千瓦雙環爐頭，最低火力 0.5 千瓦，兼備獨立芯火及快易點火系統，滿足各式烹調要求。
5. 五腳釩鐵爐架配上耐高溫塗層處理的銅合金爐頭，美觀耐用，清理容易。
6. 適合 670 x 350 毫米和 703 x 403毫米枱面開孔，橫向式氣體接頭，安裝靈活。
7. 達一級能源效益表現，節省能源。</v>
          </cell>
          <cell r="CD163" t="str">
            <v>不適用</v>
          </cell>
          <cell r="CE163" t="str">
            <v>兩枚D型1.5V</v>
          </cell>
          <cell r="CG163" t="str">
            <v>黑色強化玻璃</v>
          </cell>
          <cell r="CH163" t="str">
            <v>旋鈕式</v>
          </cell>
          <cell r="CI163" t="str">
            <v>旋鈕式</v>
          </cell>
          <cell r="CJ163" t="str">
            <v>雙環</v>
          </cell>
          <cell r="CK163" t="str">
            <v>不適用</v>
          </cell>
          <cell r="CL163" t="str">
            <v>不適用</v>
          </cell>
          <cell r="CM163" t="str">
            <v>不適用</v>
          </cell>
          <cell r="CN163" t="str">
            <v>不適用</v>
          </cell>
          <cell r="CO163" t="str">
            <v>不適用</v>
          </cell>
          <cell r="CP163" t="str">
            <v>不適用</v>
          </cell>
          <cell r="CQ163" t="str">
            <v>不適用</v>
          </cell>
          <cell r="CR163" t="str">
            <v>圓形五邊承托</v>
          </cell>
          <cell r="CS163" t="str">
            <v>請按此處</v>
          </cell>
          <cell r="CT163" t="str">
            <v>請按此處</v>
          </cell>
          <cell r="CV163">
            <v>17</v>
          </cell>
          <cell r="CW163">
            <v>37.400000000000006</v>
          </cell>
          <cell r="CX163" t="str">
            <v>連續煮食自動熄火安全裝置：4 小時。</v>
          </cell>
          <cell r="DF163" t="str">
            <v>(以Siebel內Product的Control Sales Msg為準)</v>
          </cell>
          <cell r="DG163" t="str">
            <v>請按此處</v>
          </cell>
        </row>
        <row r="164">
          <cell r="A164" t="str">
            <v>hzb62gn1_670</v>
          </cell>
          <cell r="B164" t="str">
            <v>現售</v>
          </cell>
          <cell r="E164" t="str">
            <v>Simpa</v>
          </cell>
          <cell r="F164" t="str">
            <v>HZB62GN1</v>
          </cell>
          <cell r="G164" t="str">
            <v>RSH3U</v>
          </cell>
          <cell r="H164" t="str">
            <v>網關 - RSAG2</v>
          </cell>
          <cell r="K164" t="str">
            <v>2025年7月21日</v>
          </cell>
          <cell r="M164" t="str">
            <v>中國</v>
          </cell>
          <cell r="N164" t="str">
            <v>$5,150 (包鋰電池儲電器) ( 不包網關)</v>
          </cell>
          <cell r="O164" t="str">
            <v>請按此處</v>
          </cell>
          <cell r="P164">
            <v>62</v>
          </cell>
          <cell r="Q164">
            <v>2.4409448818897639</v>
          </cell>
          <cell r="R164">
            <v>78</v>
          </cell>
          <cell r="S164">
            <v>3.0708661417322838</v>
          </cell>
          <cell r="T164">
            <v>140</v>
          </cell>
          <cell r="U164">
            <v>5.5118110236220472</v>
          </cell>
          <cell r="V164">
            <v>760</v>
          </cell>
          <cell r="W164">
            <v>29.921259842519685</v>
          </cell>
          <cell r="X164">
            <v>450</v>
          </cell>
          <cell r="Y164">
            <v>17.716535433070867</v>
          </cell>
          <cell r="AA164">
            <v>0</v>
          </cell>
          <cell r="AC164" t="str">
            <v>670 x 350 (26.4" x 13.8")</v>
          </cell>
          <cell r="AD164">
            <v>2</v>
          </cell>
          <cell r="AE164" t="str">
            <v>左</v>
          </cell>
          <cell r="AF164" t="str">
            <v>右</v>
          </cell>
          <cell r="AJ164">
            <v>18</v>
          </cell>
          <cell r="AK164">
            <v>18</v>
          </cell>
          <cell r="AL164">
            <v>0</v>
          </cell>
          <cell r="AM164">
            <v>0</v>
          </cell>
          <cell r="AN164">
            <v>0</v>
          </cell>
          <cell r="AO164">
            <v>1.8</v>
          </cell>
          <cell r="AP164">
            <v>1.8</v>
          </cell>
          <cell r="AQ164">
            <v>0</v>
          </cell>
          <cell r="AR164">
            <v>0</v>
          </cell>
          <cell r="AS164">
            <v>0</v>
          </cell>
          <cell r="AT164">
            <v>5</v>
          </cell>
          <cell r="AU164">
            <v>5</v>
          </cell>
          <cell r="AY164">
            <v>0.5</v>
          </cell>
          <cell r="AZ164">
            <v>0.5</v>
          </cell>
          <cell r="BD164">
            <v>17079.787233999999</v>
          </cell>
          <cell r="BE164">
            <v>17079.787233999999</v>
          </cell>
          <cell r="BF164">
            <v>0</v>
          </cell>
          <cell r="BG164">
            <v>0</v>
          </cell>
          <cell r="BH164">
            <v>0</v>
          </cell>
          <cell r="BI164">
            <v>1707.9787234</v>
          </cell>
          <cell r="BJ164">
            <v>1707.9787234</v>
          </cell>
          <cell r="BK164">
            <v>0</v>
          </cell>
          <cell r="BL164">
            <v>0</v>
          </cell>
          <cell r="BM164">
            <v>0</v>
          </cell>
          <cell r="BN164">
            <v>4.6980000000000004</v>
          </cell>
          <cell r="BO164">
            <v>4.6980000000000004</v>
          </cell>
          <cell r="BP164">
            <v>0</v>
          </cell>
          <cell r="BQ164">
            <v>0</v>
          </cell>
          <cell r="BR164">
            <v>0</v>
          </cell>
          <cell r="BS164">
            <v>0.46980000000000005</v>
          </cell>
          <cell r="BT164">
            <v>0.46980000000000005</v>
          </cell>
          <cell r="BU164">
            <v>0</v>
          </cell>
          <cell r="BV164">
            <v>0</v>
          </cell>
          <cell r="BW164">
            <v>0</v>
          </cell>
          <cell r="BX164" t="str">
            <v>可以</v>
          </cell>
          <cell r="BY164" t="str">
            <v>可以</v>
          </cell>
          <cell r="CC164" t="str">
            <v>1. 爐頭座物料由鑄鐵升級厔鋁合金，有效減少銹蝕程度，並提高耐用性。
2. 配合第二代網關﹝貨號 378516﹞，可與智慧抽油煙機聯動開關。
3. 配備智慧功能，不但能透過手機應用程式(APP)監察爐具使用狀態，並會於每30分鐘提醒客戶爐具正在使用及於客戶離家時發出離報警提示。
4. 左右 5 千瓦雙環爐頭，最低火力 0.5 千瓦，兼備立芯火及快易點系統，滿足各式烹調要求。
五腳鑄鐵爐架配上耐高溫塗層處理的銅合金爐具，美觀耐用，清理容易。
6. 適合670 x 350 毫米和 730 x 403毫米枱面開孔，橫向式氣體接頭，裝靈活。
熄火安全裝置、防高溫保護裝置及預訯4小時連續煮煮食自動熄火功能，確保安全。</v>
          </cell>
          <cell r="CD164" t="str">
            <v>不適用</v>
          </cell>
          <cell r="CE164" t="str">
            <v>兩枚D型1.5V</v>
          </cell>
          <cell r="CG164" t="str">
            <v>黑色強化玻璃</v>
          </cell>
          <cell r="CH164" t="str">
            <v>旋鈕式</v>
          </cell>
          <cell r="CI164" t="str">
            <v>旋鈕式</v>
          </cell>
          <cell r="CJ164" t="str">
            <v>雙環</v>
          </cell>
          <cell r="CK164" t="str">
            <v>不適用</v>
          </cell>
          <cell r="CL164" t="str">
            <v>不適用</v>
          </cell>
          <cell r="CM164" t="str">
            <v>不適用</v>
          </cell>
          <cell r="CN164" t="str">
            <v>不適用</v>
          </cell>
          <cell r="CO164" t="str">
            <v>不適用</v>
          </cell>
          <cell r="CP164" t="str">
            <v>不適用</v>
          </cell>
          <cell r="CQ164" t="str">
            <v>不適用</v>
          </cell>
          <cell r="CR164" t="str">
            <v>圓形五邊承托</v>
          </cell>
          <cell r="CS164" t="str">
            <v>請按此處</v>
          </cell>
          <cell r="CT164" t="str">
            <v>請按此處</v>
          </cell>
          <cell r="CV164">
            <v>16.600000000000001</v>
          </cell>
          <cell r="CW164">
            <v>36.520000000000003</v>
          </cell>
          <cell r="DF164" t="str">
            <v>貨源正常</v>
          </cell>
        </row>
        <row r="165">
          <cell r="A165" t="str">
            <v>hzb62gn1_703</v>
          </cell>
          <cell r="B165" t="str">
            <v>現售</v>
          </cell>
          <cell r="E165" t="str">
            <v>Simpa</v>
          </cell>
          <cell r="F165" t="str">
            <v>HZB62GN1</v>
          </cell>
          <cell r="G165" t="str">
            <v>RSH3U</v>
          </cell>
          <cell r="H165" t="str">
            <v>網關 - RSAG2</v>
          </cell>
          <cell r="K165" t="str">
            <v>2025年7月21日</v>
          </cell>
          <cell r="M165" t="str">
            <v>中國</v>
          </cell>
          <cell r="N165" t="str">
            <v>$5,150 (包鋰電池儲電器) ( 不包網關)</v>
          </cell>
          <cell r="O165" t="str">
            <v>請按此處</v>
          </cell>
          <cell r="P165">
            <v>62</v>
          </cell>
          <cell r="Q165">
            <v>2.4409448818897639</v>
          </cell>
          <cell r="R165">
            <v>78</v>
          </cell>
          <cell r="S165">
            <v>3.0708661417322838</v>
          </cell>
          <cell r="T165">
            <v>140</v>
          </cell>
          <cell r="U165">
            <v>5.5118110236220472</v>
          </cell>
          <cell r="V165">
            <v>760</v>
          </cell>
          <cell r="W165">
            <v>29.921259842519685</v>
          </cell>
          <cell r="X165">
            <v>450</v>
          </cell>
          <cell r="Y165">
            <v>17.716535433070867</v>
          </cell>
          <cell r="AA165">
            <v>0</v>
          </cell>
          <cell r="AC165" t="str">
            <v>703 x 403 (27.7" x 15.9")</v>
          </cell>
          <cell r="AD165">
            <v>2</v>
          </cell>
          <cell r="AE165" t="str">
            <v>左</v>
          </cell>
          <cell r="AF165" t="str">
            <v>右</v>
          </cell>
          <cell r="AJ165">
            <v>18</v>
          </cell>
          <cell r="AK165">
            <v>18</v>
          </cell>
          <cell r="AL165">
            <v>0</v>
          </cell>
          <cell r="AM165">
            <v>0</v>
          </cell>
          <cell r="AN165">
            <v>0</v>
          </cell>
          <cell r="AO165">
            <v>1.8</v>
          </cell>
          <cell r="AP165">
            <v>1.8</v>
          </cell>
          <cell r="AQ165">
            <v>0</v>
          </cell>
          <cell r="AR165">
            <v>0</v>
          </cell>
          <cell r="AS165">
            <v>0</v>
          </cell>
          <cell r="AT165">
            <v>5</v>
          </cell>
          <cell r="AU165">
            <v>5</v>
          </cell>
          <cell r="AY165">
            <v>0.5</v>
          </cell>
          <cell r="AZ165">
            <v>0.5</v>
          </cell>
          <cell r="BD165">
            <v>17079.787233999999</v>
          </cell>
          <cell r="BE165">
            <v>17079.787233999999</v>
          </cell>
          <cell r="BF165">
            <v>0</v>
          </cell>
          <cell r="BG165">
            <v>0</v>
          </cell>
          <cell r="BH165">
            <v>0</v>
          </cell>
          <cell r="BI165">
            <v>1707.9787234</v>
          </cell>
          <cell r="BJ165">
            <v>1707.9787234</v>
          </cell>
          <cell r="BK165">
            <v>0</v>
          </cell>
          <cell r="BL165">
            <v>0</v>
          </cell>
          <cell r="BM165">
            <v>0</v>
          </cell>
          <cell r="BN165">
            <v>4.6980000000000004</v>
          </cell>
          <cell r="BO165">
            <v>4.6980000000000004</v>
          </cell>
          <cell r="BP165">
            <v>0</v>
          </cell>
          <cell r="BQ165">
            <v>0</v>
          </cell>
          <cell r="BR165">
            <v>0</v>
          </cell>
          <cell r="BS165">
            <v>0.46980000000000005</v>
          </cell>
          <cell r="BT165">
            <v>0.46980000000000005</v>
          </cell>
          <cell r="BU165">
            <v>0</v>
          </cell>
          <cell r="BV165">
            <v>0</v>
          </cell>
          <cell r="BW165">
            <v>0</v>
          </cell>
          <cell r="BX165" t="str">
            <v>可以</v>
          </cell>
          <cell r="BY165" t="str">
            <v>可以</v>
          </cell>
          <cell r="CC165" t="str">
            <v>1. 爐頭座物料由鑄鐵升級厔鋁合金，有效減少銹蝕程度，並提高耐用性。
2. 配合第二代網關﹝貨號 378516﹞，可與智慧抽油煙機聯動開關。
3. 配備智慧功能，不但能透過手機應用程式(APP)監察爐具使用狀態，並會於每30分鐘提醒客戶爐具正在使用及於客戶離家時發出離報警提示。
4. 左右 5 千瓦雙環爐頭，最低火力 0.5 千瓦，兼備立芯火及快易點系統，滿足各式烹調要求。
五腳鑄鐵爐架配上耐高溫塗層處理的銅合金爐具，美觀耐用，清理容易。
6. 適合670 x 350 毫米和 730 x 403毫米枱面開孔，橫向式氣體接頭，裝靈活。
熄火安全裝置、防高溫保護裝置及預訯4小時連續煮煮食自動熄火功能，確保安全。</v>
          </cell>
          <cell r="CD165" t="str">
            <v>不適用</v>
          </cell>
          <cell r="CE165" t="str">
            <v>兩枚D型1.5V</v>
          </cell>
          <cell r="CG165" t="str">
            <v>黑色強化玻璃</v>
          </cell>
          <cell r="CH165" t="str">
            <v>旋鈕式</v>
          </cell>
          <cell r="CI165" t="str">
            <v>旋鈕式</v>
          </cell>
          <cell r="CJ165" t="str">
            <v>雙環</v>
          </cell>
          <cell r="CK165" t="str">
            <v>不適用</v>
          </cell>
          <cell r="CL165" t="str">
            <v>不適用</v>
          </cell>
          <cell r="CM165" t="str">
            <v>不適用</v>
          </cell>
          <cell r="CN165" t="str">
            <v>不適用</v>
          </cell>
          <cell r="CO165" t="str">
            <v>不適用</v>
          </cell>
          <cell r="CP165" t="str">
            <v>不適用</v>
          </cell>
          <cell r="CQ165" t="str">
            <v>不適用</v>
          </cell>
          <cell r="CR165" t="str">
            <v>圓形五邊承托</v>
          </cell>
          <cell r="CS165" t="str">
            <v>請按此處</v>
          </cell>
          <cell r="CT165" t="str">
            <v>請按此處</v>
          </cell>
          <cell r="CV165">
            <v>16.600000000000001</v>
          </cell>
          <cell r="CW165">
            <v>36.520000000000003</v>
          </cell>
          <cell r="DF165" t="str">
            <v>貨源正常</v>
          </cell>
        </row>
        <row r="166">
          <cell r="A166" t="str">
            <v>hzb31g1</v>
          </cell>
          <cell r="B166" t="str">
            <v>現售</v>
          </cell>
          <cell r="E166" t="str">
            <v>Simpa</v>
          </cell>
          <cell r="F166" t="str">
            <v>HZB31G1</v>
          </cell>
          <cell r="G166" t="str">
            <v>RSH33</v>
          </cell>
          <cell r="K166" t="str">
            <v>2025年8月19日</v>
          </cell>
          <cell r="M166" t="str">
            <v>中國</v>
          </cell>
          <cell r="N166">
            <v>4380</v>
          </cell>
          <cell r="O166" t="str">
            <v>請按此處</v>
          </cell>
          <cell r="P166">
            <v>67</v>
          </cell>
          <cell r="Q166">
            <v>2.6377952755905514</v>
          </cell>
          <cell r="R166">
            <v>76</v>
          </cell>
          <cell r="S166">
            <v>2.9921259842519685</v>
          </cell>
          <cell r="T166">
            <v>135</v>
          </cell>
          <cell r="U166">
            <v>5.3149606299212602</v>
          </cell>
          <cell r="V166">
            <v>288</v>
          </cell>
          <cell r="W166">
            <v>11.338582677165356</v>
          </cell>
          <cell r="X166">
            <v>515</v>
          </cell>
          <cell r="Y166">
            <v>20.275590551181104</v>
          </cell>
          <cell r="AA166">
            <v>0</v>
          </cell>
          <cell r="AC166" t="str">
            <v>265 x 490 (10.4" x 19.3")</v>
          </cell>
          <cell r="AD166">
            <v>1</v>
          </cell>
          <cell r="AJ166">
            <v>18</v>
          </cell>
          <cell r="AK166">
            <v>0</v>
          </cell>
          <cell r="AL166">
            <v>0</v>
          </cell>
          <cell r="AM166">
            <v>0</v>
          </cell>
          <cell r="AN166">
            <v>0</v>
          </cell>
          <cell r="AO166">
            <v>1.8</v>
          </cell>
          <cell r="AP166">
            <v>0</v>
          </cell>
          <cell r="AQ166">
            <v>0</v>
          </cell>
          <cell r="AR166">
            <v>0</v>
          </cell>
          <cell r="AS166">
            <v>0</v>
          </cell>
          <cell r="AT166">
            <v>5</v>
          </cell>
          <cell r="AY166">
            <v>0.5</v>
          </cell>
          <cell r="BD166">
            <v>17079.787233999999</v>
          </cell>
          <cell r="BE166">
            <v>0</v>
          </cell>
          <cell r="BF166">
            <v>0</v>
          </cell>
          <cell r="BG166">
            <v>0</v>
          </cell>
          <cell r="BH166">
            <v>0</v>
          </cell>
          <cell r="BI166">
            <v>1707.9787234</v>
          </cell>
          <cell r="BJ166">
            <v>0</v>
          </cell>
          <cell r="BK166">
            <v>0</v>
          </cell>
          <cell r="BL166">
            <v>0</v>
          </cell>
          <cell r="BM166">
            <v>0</v>
          </cell>
          <cell r="BN166">
            <v>4.6980000000000004</v>
          </cell>
          <cell r="BO166">
            <v>0</v>
          </cell>
          <cell r="BP166">
            <v>0</v>
          </cell>
          <cell r="BQ166">
            <v>0</v>
          </cell>
          <cell r="BR166">
            <v>0</v>
          </cell>
          <cell r="BS166">
            <v>0.46980000000000005</v>
          </cell>
          <cell r="BT166">
            <v>0</v>
          </cell>
          <cell r="BU166">
            <v>0</v>
          </cell>
          <cell r="BV166">
            <v>0</v>
          </cell>
          <cell r="BW166">
            <v>0</v>
          </cell>
          <cell r="BX166" t="str">
            <v>可以</v>
          </cell>
          <cell r="CC166" t="str">
            <v>1. 爐具達二級能源效益標籤
2. 鋁合金爐頭座有更佳的防銹效果，外觀提升及便利維修保養。
3. 採用 5 千瓦強勁雙環設計，配備獨立芯火，滿足各式烹飪要求。
4. 配備快易點火系統，操作簡便靈活。
5. 爐頭蓋由耐高溫塗層銅合金製成，表面加上黑色耐高溫塗層，孔型火孔，堅固耐用。
6. 密封式爐頭有效防止溢出物流入內部，清理方便。
7. 橫向式氣體接頭設計，安裝靈活。
8. 後進風面板設計，開關廚櫃門不影響爐火穩定。</v>
          </cell>
          <cell r="CD166" t="str">
            <v>不適用</v>
          </cell>
          <cell r="CE166" t="str">
            <v>兩枚D型1.5V</v>
          </cell>
          <cell r="CG166" t="str">
            <v>黑色強化玻璃</v>
          </cell>
          <cell r="CH166" t="str">
            <v>旋鈕式</v>
          </cell>
          <cell r="CI166" t="str">
            <v>旋鈕式</v>
          </cell>
          <cell r="CJ166" t="str">
            <v>雙環</v>
          </cell>
          <cell r="CR166" t="str">
            <v>圓形四邊承托</v>
          </cell>
          <cell r="CS166" t="str">
            <v>請按此處</v>
          </cell>
          <cell r="CT166" t="str">
            <v>請按此處</v>
          </cell>
          <cell r="CV166">
            <v>7.2</v>
          </cell>
          <cell r="CW166">
            <v>15.840000000000002</v>
          </cell>
          <cell r="DF166" t="str">
            <v>貨源正常</v>
          </cell>
          <cell r="DG166" t="str">
            <v>請按此處</v>
          </cell>
        </row>
        <row r="167">
          <cell r="A167" t="str">
            <v>hzb32g1</v>
          </cell>
          <cell r="B167" t="str">
            <v>現售</v>
          </cell>
          <cell r="E167" t="str">
            <v>Simpa</v>
          </cell>
          <cell r="F167" t="str">
            <v>HZB32G1</v>
          </cell>
          <cell r="G167" t="str">
            <v>RSH34</v>
          </cell>
          <cell r="K167" t="str">
            <v>2025年8月19日</v>
          </cell>
          <cell r="M167" t="str">
            <v>中國</v>
          </cell>
          <cell r="N167">
            <v>4380</v>
          </cell>
          <cell r="O167" t="str">
            <v>請按此處</v>
          </cell>
          <cell r="P167">
            <v>67</v>
          </cell>
          <cell r="Q167">
            <v>2.6377952755905514</v>
          </cell>
          <cell r="R167">
            <v>76</v>
          </cell>
          <cell r="S167">
            <v>2.9921259842519685</v>
          </cell>
          <cell r="T167">
            <v>130</v>
          </cell>
          <cell r="U167">
            <v>5.1181102362204731</v>
          </cell>
          <cell r="V167">
            <v>288</v>
          </cell>
          <cell r="W167">
            <v>11.338582677165356</v>
          </cell>
          <cell r="X167">
            <v>515</v>
          </cell>
          <cell r="Y167">
            <v>20.275590551181104</v>
          </cell>
          <cell r="AA167">
            <v>0</v>
          </cell>
          <cell r="AC167" t="str">
            <v>265 x 490 (10.4" x 19.3")</v>
          </cell>
          <cell r="AD167">
            <v>2</v>
          </cell>
          <cell r="AE167" t="str">
            <v>後 (大爐)</v>
          </cell>
          <cell r="AF167" t="str">
            <v>前 (細爐)</v>
          </cell>
          <cell r="AJ167">
            <v>9</v>
          </cell>
          <cell r="AK167">
            <v>4.6800000000000006</v>
          </cell>
          <cell r="AL167">
            <v>0</v>
          </cell>
          <cell r="AM167">
            <v>0</v>
          </cell>
          <cell r="AN167">
            <v>0</v>
          </cell>
          <cell r="AO167">
            <v>0</v>
          </cell>
          <cell r="AP167">
            <v>0</v>
          </cell>
          <cell r="AQ167">
            <v>0</v>
          </cell>
          <cell r="AR167">
            <v>0</v>
          </cell>
          <cell r="AS167">
            <v>0</v>
          </cell>
          <cell r="AT167">
            <v>2.5</v>
          </cell>
          <cell r="AU167">
            <v>1.3</v>
          </cell>
          <cell r="BD167">
            <v>8539.8936169999997</v>
          </cell>
          <cell r="BE167">
            <v>4440.74468084</v>
          </cell>
          <cell r="BF167">
            <v>0</v>
          </cell>
          <cell r="BG167">
            <v>0</v>
          </cell>
          <cell r="BH167">
            <v>0</v>
          </cell>
          <cell r="BI167">
            <v>0</v>
          </cell>
          <cell r="BJ167">
            <v>0</v>
          </cell>
          <cell r="BK167">
            <v>0</v>
          </cell>
          <cell r="BL167">
            <v>0</v>
          </cell>
          <cell r="BM167">
            <v>0</v>
          </cell>
          <cell r="BN167">
            <v>2.3490000000000002</v>
          </cell>
          <cell r="BO167">
            <v>1.2214800000000001</v>
          </cell>
          <cell r="BP167">
            <v>0</v>
          </cell>
          <cell r="BQ167">
            <v>0</v>
          </cell>
          <cell r="BR167">
            <v>0</v>
          </cell>
          <cell r="BS167">
            <v>0</v>
          </cell>
          <cell r="BT167">
            <v>0</v>
          </cell>
          <cell r="BU167">
            <v>0</v>
          </cell>
          <cell r="BV167">
            <v>0</v>
          </cell>
          <cell r="BW167">
            <v>0</v>
          </cell>
          <cell r="BX167" t="str">
            <v>不可以</v>
          </cell>
          <cell r="BY167" t="str">
            <v>不可以</v>
          </cell>
          <cell r="CC167" t="str">
            <v>1. 爐具達二級能源效益標籤
2. 鋁合金爐頭座有更佳的防銹效果，外觀提升及便利維修保養。
3. 雙頭型號提供兩個分別 1.3 千瓦及 2.5 千瓦爐頭 ，滿足各式烹飪要求。
4. 配備快易點火系統，操作簡便靈活。
5. 爐頭蓋由耐高溫塗層銅合金製成，表面加上黑色耐高溫塗層，孔型火孔，堅固耐用。
6. 密封式爐頭有效防止溢出物流入內部，清理方便。
7. 橫向式氣體接頭設計，安裝靈活。
8. 後進風面板設計，開關廚櫃門不影響爐火穩定。</v>
          </cell>
          <cell r="CD167" t="str">
            <v>不適用</v>
          </cell>
          <cell r="CE167" t="str">
            <v>兩枚D型1.5V</v>
          </cell>
          <cell r="CG167" t="str">
            <v>黑色強化玻璃</v>
          </cell>
          <cell r="CH167" t="str">
            <v>旋鈕式</v>
          </cell>
          <cell r="CI167" t="str">
            <v>旋鈕式</v>
          </cell>
          <cell r="CL167" t="str">
            <v>單環</v>
          </cell>
          <cell r="CM167" t="str">
            <v>單環</v>
          </cell>
          <cell r="CR167" t="str">
            <v>圓形四邊承托</v>
          </cell>
          <cell r="CS167" t="str">
            <v>請按此處</v>
          </cell>
          <cell r="CT167" t="str">
            <v>請按此處</v>
          </cell>
          <cell r="CV167">
            <v>7.3</v>
          </cell>
          <cell r="CW167">
            <v>16.060000000000002</v>
          </cell>
          <cell r="DF167" t="str">
            <v>貨源正常</v>
          </cell>
          <cell r="DG167" t="str">
            <v>請按此處</v>
          </cell>
        </row>
        <row r="168">
          <cell r="A168" t="str">
            <v>hzb53m1</v>
          </cell>
          <cell r="B168" t="str">
            <v>現售</v>
          </cell>
          <cell r="E168" t="str">
            <v>Simpa</v>
          </cell>
          <cell r="F168" t="str">
            <v>HZB53M1</v>
          </cell>
          <cell r="G168" t="str">
            <v>RB530</v>
          </cell>
          <cell r="K168" t="str">
            <v>2025年12月31日</v>
          </cell>
          <cell r="M168" t="str">
            <v>中國</v>
          </cell>
          <cell r="N168">
            <v>5230</v>
          </cell>
          <cell r="O168" t="str">
            <v>請按此處</v>
          </cell>
          <cell r="P168">
            <v>55</v>
          </cell>
          <cell r="Q168">
            <v>2.1653543307086616</v>
          </cell>
          <cell r="R168">
            <v>76</v>
          </cell>
          <cell r="S168">
            <v>2.9921259842519685</v>
          </cell>
          <cell r="T168">
            <v>125</v>
          </cell>
          <cell r="U168">
            <v>4.9212598425196852</v>
          </cell>
          <cell r="V168">
            <v>580</v>
          </cell>
          <cell r="W168">
            <v>22.834645669291341</v>
          </cell>
          <cell r="X168">
            <v>510</v>
          </cell>
          <cell r="Y168">
            <v>20.078740157480315</v>
          </cell>
          <cell r="AA168">
            <v>0</v>
          </cell>
          <cell r="AC168" t="str">
            <v>555 x 475 (21.9" x 18.7")</v>
          </cell>
          <cell r="AD168">
            <v>3</v>
          </cell>
          <cell r="AE168" t="str">
            <v>左上</v>
          </cell>
          <cell r="AF168" t="str">
            <v>左下</v>
          </cell>
          <cell r="AG168" t="str">
            <v>右</v>
          </cell>
          <cell r="AJ168">
            <v>9</v>
          </cell>
          <cell r="AK168">
            <v>4.6800000000000006</v>
          </cell>
          <cell r="AL168">
            <v>18</v>
          </cell>
          <cell r="AM168">
            <v>0</v>
          </cell>
          <cell r="AN168">
            <v>0</v>
          </cell>
          <cell r="AO168">
            <v>0</v>
          </cell>
          <cell r="AP168">
            <v>0</v>
          </cell>
          <cell r="AQ168">
            <v>0</v>
          </cell>
          <cell r="AR168">
            <v>0</v>
          </cell>
          <cell r="AS168">
            <v>0</v>
          </cell>
          <cell r="AT168">
            <v>2.5</v>
          </cell>
          <cell r="AU168">
            <v>1.3</v>
          </cell>
          <cell r="AV168">
            <v>5</v>
          </cell>
          <cell r="BD168">
            <v>8539.8936169999997</v>
          </cell>
          <cell r="BE168">
            <v>4440.74468084</v>
          </cell>
          <cell r="BF168">
            <v>17079.787233999999</v>
          </cell>
          <cell r="BG168">
            <v>0</v>
          </cell>
          <cell r="BH168">
            <v>0</v>
          </cell>
          <cell r="BI168">
            <v>0</v>
          </cell>
          <cell r="BJ168">
            <v>0</v>
          </cell>
          <cell r="BK168">
            <v>0</v>
          </cell>
          <cell r="BL168">
            <v>0</v>
          </cell>
          <cell r="BM168">
            <v>0</v>
          </cell>
          <cell r="BN168">
            <v>2.3490000000000002</v>
          </cell>
          <cell r="BO168">
            <v>1.2214800000000001</v>
          </cell>
          <cell r="BP168">
            <v>4.6980000000000004</v>
          </cell>
          <cell r="BQ168">
            <v>0</v>
          </cell>
          <cell r="BR168">
            <v>0</v>
          </cell>
          <cell r="BS168">
            <v>0</v>
          </cell>
          <cell r="BT168">
            <v>0</v>
          </cell>
          <cell r="BU168">
            <v>0</v>
          </cell>
          <cell r="BV168">
            <v>0</v>
          </cell>
          <cell r="BW168">
            <v>0</v>
          </cell>
          <cell r="CC168" t="str">
            <v>1. 鋁合金爐頭底座具備卓越的防銹性能。
2. 三爐頭設計（5.0千瓦、2.5千瓦及1.3千瓦）提供
多檔火力選擇，靈活滿足各類烹飪需求。
3. 磨砂不銹鋼爐面，美觀且耐用。
4. 鑄鐵爐架結構堅固，經久耐用。
5. 銅合金爐頭蓋採用黑色耐高溫塗層，易於清潔。
6. 密封式爐頭設計可有效防止湯汁溢入內部，日常
打理更輕鬆。
7. 橫向式燃氣接頭佈局，安裝位置靈活，適應多種
廚房空間。</v>
          </cell>
          <cell r="CD168" t="str">
            <v>不適用</v>
          </cell>
          <cell r="CE168" t="str">
            <v>一枚D型1.5V</v>
          </cell>
          <cell r="CG168" t="str">
            <v>不銹鋼</v>
          </cell>
          <cell r="CH168" t="str">
            <v>旋鈕式</v>
          </cell>
          <cell r="CI168" t="str">
            <v>旋鈕式</v>
          </cell>
          <cell r="CJ168" t="str">
            <v>銅合金</v>
          </cell>
          <cell r="CK168" t="str">
            <v>銅合金</v>
          </cell>
          <cell r="CM168" t="str">
            <v>銅合金</v>
          </cell>
          <cell r="CR168" t="str">
            <v>長形連架</v>
          </cell>
          <cell r="CS168" t="str">
            <v>請按此處</v>
          </cell>
          <cell r="CT168" t="str">
            <v>請按此處</v>
          </cell>
          <cell r="CV168">
            <v>12.3</v>
          </cell>
          <cell r="CW168">
            <v>27.060000000000002</v>
          </cell>
          <cell r="CX168" t="str">
            <v>HZB53M1的開孔尺寸與舊型號HZB53M 及 MY54A完全相容。</v>
          </cell>
          <cell r="DF168" t="str">
            <v>貨源正常</v>
          </cell>
          <cell r="DG168" t="str">
            <v>請按此處</v>
          </cell>
        </row>
        <row r="169">
          <cell r="A169" t="str">
            <v>uzb62gt</v>
          </cell>
          <cell r="B169" t="str">
            <v>現售</v>
          </cell>
          <cell r="E169" t="str">
            <v>Simpa</v>
          </cell>
          <cell r="F169" t="str">
            <v>UZB62GT</v>
          </cell>
          <cell r="K169" t="str">
            <v>2025年12月31日</v>
          </cell>
          <cell r="M169" t="str">
            <v>中國</v>
          </cell>
          <cell r="N169">
            <v>4930</v>
          </cell>
          <cell r="O169" t="str">
            <v>請按此處</v>
          </cell>
          <cell r="P169">
            <v>66</v>
          </cell>
          <cell r="Q169">
            <v>2.598425196850394</v>
          </cell>
          <cell r="R169">
            <v>74</v>
          </cell>
          <cell r="S169">
            <v>2.9133858267716537</v>
          </cell>
          <cell r="T169">
            <v>133</v>
          </cell>
          <cell r="U169">
            <v>5.2362204724409454</v>
          </cell>
          <cell r="V169">
            <v>750</v>
          </cell>
          <cell r="W169">
            <v>29.527559055118111</v>
          </cell>
          <cell r="X169">
            <v>450</v>
          </cell>
          <cell r="Y169">
            <v>17.716535433070867</v>
          </cell>
          <cell r="AA169">
            <v>0</v>
          </cell>
          <cell r="AC169" t="str">
            <v>670 x 350 (26.4" x 13.8")</v>
          </cell>
          <cell r="AD169">
            <v>2</v>
          </cell>
          <cell r="AE169" t="str">
            <v>左</v>
          </cell>
          <cell r="AF169" t="str">
            <v>右</v>
          </cell>
          <cell r="AJ169">
            <v>18</v>
          </cell>
          <cell r="AK169">
            <v>18</v>
          </cell>
          <cell r="AL169">
            <v>0</v>
          </cell>
          <cell r="AM169">
            <v>0</v>
          </cell>
          <cell r="AN169">
            <v>0</v>
          </cell>
          <cell r="AO169">
            <v>0</v>
          </cell>
          <cell r="AP169">
            <v>0</v>
          </cell>
          <cell r="AQ169">
            <v>0</v>
          </cell>
          <cell r="AR169">
            <v>0</v>
          </cell>
          <cell r="AS169">
            <v>0</v>
          </cell>
          <cell r="AT169">
            <v>5</v>
          </cell>
          <cell r="AU169">
            <v>5</v>
          </cell>
          <cell r="BD169">
            <v>17079.787233999999</v>
          </cell>
          <cell r="BE169">
            <v>17079.787233999999</v>
          </cell>
          <cell r="BF169">
            <v>0</v>
          </cell>
          <cell r="BG169">
            <v>0</v>
          </cell>
          <cell r="BH169">
            <v>0</v>
          </cell>
          <cell r="BI169">
            <v>0</v>
          </cell>
          <cell r="BJ169">
            <v>0</v>
          </cell>
          <cell r="BK169">
            <v>0</v>
          </cell>
          <cell r="BL169">
            <v>0</v>
          </cell>
          <cell r="BM169">
            <v>0</v>
          </cell>
          <cell r="BN169">
            <v>4.6980000000000004</v>
          </cell>
          <cell r="BO169">
            <v>4.6980000000000004</v>
          </cell>
          <cell r="BP169">
            <v>0</v>
          </cell>
          <cell r="BQ169">
            <v>0</v>
          </cell>
          <cell r="BR169">
            <v>0</v>
          </cell>
          <cell r="BS169">
            <v>0</v>
          </cell>
          <cell r="BT169">
            <v>0</v>
          </cell>
          <cell r="BU169">
            <v>0</v>
          </cell>
          <cell r="BV169">
            <v>0</v>
          </cell>
          <cell r="BW169">
            <v>0</v>
          </cell>
          <cell r="BX169" t="str">
            <v>可以</v>
          </cell>
          <cell r="BY169" t="str">
            <v>可以</v>
          </cell>
          <cell r="CC169" t="str">
            <v>1. • 左右爐頭均採用5千瓦雙環設計，配備獨立芯火，可
靈活應對各類烹飪需求。
2. 爐具具備一級能效表現，節能環保。
3. 定時烹飪功能支援單獨設定左爐頭或右爐頭，熄火時
間可在1至180分鐘間自由調節，使用更便捷。
4. 搭載快易點火系統，操作簡單靈敏。
5. 爐面採用黑色強化玻璃，銅合金爐頭蓋覆有黑色耐高
溫塗層，便於清潔。
6. 配備熄火安全保護、高溫防護及3小時連續烹飪自動
熄火功能，全面保障使用安全。
7. 密封式爐頭設計可有效防止湯汁溢入內部，日常打理
更輕鬆。
8. 橫向式燃氣接頭佈局，安裝位置靈活，適應多種廚房
空間。</v>
          </cell>
          <cell r="CD169" t="str">
            <v>不適用</v>
          </cell>
          <cell r="CE169" t="str">
            <v>兩枚D型1.5V</v>
          </cell>
          <cell r="CG169" t="str">
            <v>強化玻璃</v>
          </cell>
          <cell r="CH169" t="str">
            <v>旋鈕式</v>
          </cell>
          <cell r="CI169" t="str">
            <v>旋鈕式</v>
          </cell>
          <cell r="CJ169" t="str">
            <v>銅合金</v>
          </cell>
          <cell r="CK169" t="str">
            <v>銅合金</v>
          </cell>
          <cell r="CR169" t="str">
            <v>圓形五邊承托</v>
          </cell>
          <cell r="CS169" t="str">
            <v>請按此處</v>
          </cell>
          <cell r="CT169" t="str">
            <v>請按此處</v>
          </cell>
          <cell r="CV169">
            <v>14.2</v>
          </cell>
          <cell r="CW169">
            <v>31.240000000000002</v>
          </cell>
          <cell r="DF169" t="str">
            <v>尚未推出</v>
          </cell>
          <cell r="DG169" t="str">
            <v>請按此處</v>
          </cell>
        </row>
        <row r="170">
          <cell r="Q170">
            <v>0</v>
          </cell>
          <cell r="S170">
            <v>0</v>
          </cell>
          <cell r="U170">
            <v>0</v>
          </cell>
          <cell r="W170">
            <v>0</v>
          </cell>
          <cell r="Y170">
            <v>0</v>
          </cell>
          <cell r="AA170">
            <v>0</v>
          </cell>
          <cell r="AJ170">
            <v>0</v>
          </cell>
          <cell r="AK170">
            <v>0</v>
          </cell>
          <cell r="AL170">
            <v>0</v>
          </cell>
          <cell r="AM170">
            <v>0</v>
          </cell>
          <cell r="AN170">
            <v>0</v>
          </cell>
          <cell r="AO170">
            <v>0</v>
          </cell>
          <cell r="AP170">
            <v>0</v>
          </cell>
          <cell r="AQ170">
            <v>0</v>
          </cell>
          <cell r="AR170">
            <v>0</v>
          </cell>
          <cell r="AS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CW170">
            <v>0</v>
          </cell>
          <cell r="DF170" t="e">
            <v>#N/A</v>
          </cell>
        </row>
        <row r="171">
          <cell r="Q171">
            <v>0</v>
          </cell>
          <cell r="S171">
            <v>0</v>
          </cell>
          <cell r="U171">
            <v>0</v>
          </cell>
          <cell r="W171">
            <v>0</v>
          </cell>
          <cell r="Y171">
            <v>0</v>
          </cell>
          <cell r="AA171">
            <v>0</v>
          </cell>
          <cell r="AJ171">
            <v>0</v>
          </cell>
          <cell r="AK171">
            <v>0</v>
          </cell>
          <cell r="AL171">
            <v>0</v>
          </cell>
          <cell r="AM171">
            <v>0</v>
          </cell>
          <cell r="AN171">
            <v>0</v>
          </cell>
          <cell r="AO171">
            <v>0</v>
          </cell>
          <cell r="AP171">
            <v>0</v>
          </cell>
          <cell r="AQ171">
            <v>0</v>
          </cell>
          <cell r="AR171">
            <v>0</v>
          </cell>
          <cell r="AS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CW171">
            <v>0</v>
          </cell>
          <cell r="DF171" t="e">
            <v>#N/A</v>
          </cell>
        </row>
        <row r="172">
          <cell r="Q172">
            <v>0</v>
          </cell>
          <cell r="S172">
            <v>0</v>
          </cell>
          <cell r="U172">
            <v>0</v>
          </cell>
          <cell r="W172">
            <v>0</v>
          </cell>
          <cell r="Y172">
            <v>0</v>
          </cell>
          <cell r="AA172">
            <v>0</v>
          </cell>
          <cell r="AJ172">
            <v>0</v>
          </cell>
          <cell r="AK172">
            <v>0</v>
          </cell>
          <cell r="AL172">
            <v>0</v>
          </cell>
          <cell r="AM172">
            <v>0</v>
          </cell>
          <cell r="AN172">
            <v>0</v>
          </cell>
          <cell r="AO172">
            <v>0</v>
          </cell>
          <cell r="AP172">
            <v>0</v>
          </cell>
          <cell r="AQ172">
            <v>0</v>
          </cell>
          <cell r="AR172">
            <v>0</v>
          </cell>
          <cell r="AS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CW172">
            <v>0</v>
          </cell>
          <cell r="DF172" t="e">
            <v>#N/A</v>
          </cell>
        </row>
        <row r="173">
          <cell r="Q173">
            <v>0</v>
          </cell>
          <cell r="S173">
            <v>0</v>
          </cell>
          <cell r="U173">
            <v>0</v>
          </cell>
          <cell r="W173">
            <v>0</v>
          </cell>
          <cell r="Y173">
            <v>0</v>
          </cell>
          <cell r="AA173">
            <v>0</v>
          </cell>
          <cell r="AJ173">
            <v>0</v>
          </cell>
          <cell r="AK173">
            <v>0</v>
          </cell>
          <cell r="AL173">
            <v>0</v>
          </cell>
          <cell r="AM173">
            <v>0</v>
          </cell>
          <cell r="AN173">
            <v>0</v>
          </cell>
          <cell r="AO173">
            <v>0</v>
          </cell>
          <cell r="AP173">
            <v>0</v>
          </cell>
          <cell r="AQ173">
            <v>0</v>
          </cell>
          <cell r="AR173">
            <v>0</v>
          </cell>
          <cell r="AS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CW173">
            <v>0</v>
          </cell>
          <cell r="DF173" t="e">
            <v>#N/A</v>
          </cell>
        </row>
        <row r="174">
          <cell r="Q174">
            <v>0</v>
          </cell>
          <cell r="S174">
            <v>0</v>
          </cell>
          <cell r="U174">
            <v>0</v>
          </cell>
          <cell r="W174">
            <v>0</v>
          </cell>
          <cell r="Y174">
            <v>0</v>
          </cell>
          <cell r="AA174">
            <v>0</v>
          </cell>
          <cell r="AJ174">
            <v>0</v>
          </cell>
          <cell r="AK174">
            <v>0</v>
          </cell>
          <cell r="AL174">
            <v>0</v>
          </cell>
          <cell r="AM174">
            <v>0</v>
          </cell>
          <cell r="AN174">
            <v>0</v>
          </cell>
          <cell r="AO174">
            <v>0</v>
          </cell>
          <cell r="AP174">
            <v>0</v>
          </cell>
          <cell r="AQ174">
            <v>0</v>
          </cell>
          <cell r="AR174">
            <v>0</v>
          </cell>
          <cell r="AS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CW174">
            <v>0</v>
          </cell>
          <cell r="DF174" t="e">
            <v>#N/A</v>
          </cell>
        </row>
        <row r="175">
          <cell r="Q175">
            <v>0</v>
          </cell>
          <cell r="S175">
            <v>0</v>
          </cell>
          <cell r="U175">
            <v>0</v>
          </cell>
          <cell r="W175">
            <v>0</v>
          </cell>
          <cell r="Y175">
            <v>0</v>
          </cell>
          <cell r="AA175">
            <v>0</v>
          </cell>
          <cell r="AJ175">
            <v>0</v>
          </cell>
          <cell r="AK175">
            <v>0</v>
          </cell>
          <cell r="AL175">
            <v>0</v>
          </cell>
          <cell r="AM175">
            <v>0</v>
          </cell>
          <cell r="AN175">
            <v>0</v>
          </cell>
          <cell r="AO175">
            <v>0</v>
          </cell>
          <cell r="AP175">
            <v>0</v>
          </cell>
          <cell r="AQ175">
            <v>0</v>
          </cell>
          <cell r="AR175">
            <v>0</v>
          </cell>
          <cell r="AS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CW175">
            <v>0</v>
          </cell>
          <cell r="DF175" t="e">
            <v>#N/A</v>
          </cell>
        </row>
        <row r="176">
          <cell r="Q176">
            <v>0</v>
          </cell>
          <cell r="S176">
            <v>0</v>
          </cell>
          <cell r="U176">
            <v>0</v>
          </cell>
          <cell r="W176">
            <v>0</v>
          </cell>
          <cell r="Y176">
            <v>0</v>
          </cell>
          <cell r="AA176">
            <v>0</v>
          </cell>
          <cell r="AJ176">
            <v>0</v>
          </cell>
          <cell r="AK176">
            <v>0</v>
          </cell>
          <cell r="AL176">
            <v>0</v>
          </cell>
          <cell r="AM176">
            <v>0</v>
          </cell>
          <cell r="AN176">
            <v>0</v>
          </cell>
          <cell r="AO176">
            <v>0</v>
          </cell>
          <cell r="AP176">
            <v>0</v>
          </cell>
          <cell r="AQ176">
            <v>0</v>
          </cell>
          <cell r="AR176">
            <v>0</v>
          </cell>
          <cell r="AS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CW176">
            <v>0</v>
          </cell>
          <cell r="DF176" t="e">
            <v>#N/A</v>
          </cell>
        </row>
        <row r="177">
          <cell r="Q177">
            <v>0</v>
          </cell>
          <cell r="S177">
            <v>0</v>
          </cell>
          <cell r="U177">
            <v>0</v>
          </cell>
          <cell r="W177">
            <v>0</v>
          </cell>
          <cell r="Y177">
            <v>0</v>
          </cell>
          <cell r="AA177">
            <v>0</v>
          </cell>
          <cell r="AJ177">
            <v>0</v>
          </cell>
          <cell r="AK177">
            <v>0</v>
          </cell>
          <cell r="AL177">
            <v>0</v>
          </cell>
          <cell r="AM177">
            <v>0</v>
          </cell>
          <cell r="AN177">
            <v>0</v>
          </cell>
          <cell r="AO177">
            <v>0</v>
          </cell>
          <cell r="AP177">
            <v>0</v>
          </cell>
          <cell r="AQ177">
            <v>0</v>
          </cell>
          <cell r="AR177">
            <v>0</v>
          </cell>
          <cell r="AS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CW177">
            <v>0</v>
          </cell>
          <cell r="DF177" t="e">
            <v>#N/A</v>
          </cell>
        </row>
        <row r="178">
          <cell r="Q178">
            <v>0</v>
          </cell>
          <cell r="S178">
            <v>0</v>
          </cell>
          <cell r="U178">
            <v>0</v>
          </cell>
          <cell r="W178">
            <v>0</v>
          </cell>
          <cell r="Y178">
            <v>0</v>
          </cell>
          <cell r="AA178">
            <v>0</v>
          </cell>
          <cell r="AJ178">
            <v>0</v>
          </cell>
          <cell r="AK178">
            <v>0</v>
          </cell>
          <cell r="AL178">
            <v>0</v>
          </cell>
          <cell r="AM178">
            <v>0</v>
          </cell>
          <cell r="AN178">
            <v>0</v>
          </cell>
          <cell r="AO178">
            <v>0</v>
          </cell>
          <cell r="AP178">
            <v>0</v>
          </cell>
          <cell r="AQ178">
            <v>0</v>
          </cell>
          <cell r="AR178">
            <v>0</v>
          </cell>
          <cell r="AS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CW178">
            <v>0</v>
          </cell>
          <cell r="DF178" t="e">
            <v>#N/A</v>
          </cell>
        </row>
        <row r="179">
          <cell r="Q179">
            <v>0</v>
          </cell>
          <cell r="S179">
            <v>0</v>
          </cell>
          <cell r="U179">
            <v>0</v>
          </cell>
          <cell r="W179">
            <v>0</v>
          </cell>
          <cell r="Y179">
            <v>0</v>
          </cell>
          <cell r="AA179">
            <v>0</v>
          </cell>
          <cell r="AJ179">
            <v>0</v>
          </cell>
          <cell r="AK179">
            <v>0</v>
          </cell>
          <cell r="AL179">
            <v>0</v>
          </cell>
          <cell r="AM179">
            <v>0</v>
          </cell>
          <cell r="AN179">
            <v>0</v>
          </cell>
          <cell r="AO179">
            <v>0</v>
          </cell>
          <cell r="AP179">
            <v>0</v>
          </cell>
          <cell r="AQ179">
            <v>0</v>
          </cell>
          <cell r="AR179">
            <v>0</v>
          </cell>
          <cell r="AS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CW179">
            <v>0</v>
          </cell>
          <cell r="DF179" t="e">
            <v>#N/A</v>
          </cell>
        </row>
        <row r="180">
          <cell r="Q180">
            <v>0</v>
          </cell>
          <cell r="S180">
            <v>0</v>
          </cell>
          <cell r="U180">
            <v>0</v>
          </cell>
          <cell r="W180">
            <v>0</v>
          </cell>
          <cell r="Y180">
            <v>0</v>
          </cell>
          <cell r="AA180">
            <v>0</v>
          </cell>
          <cell r="AJ180">
            <v>0</v>
          </cell>
          <cell r="AK180">
            <v>0</v>
          </cell>
          <cell r="AL180">
            <v>0</v>
          </cell>
          <cell r="AM180">
            <v>0</v>
          </cell>
          <cell r="AN180">
            <v>0</v>
          </cell>
          <cell r="AO180">
            <v>0</v>
          </cell>
          <cell r="AP180">
            <v>0</v>
          </cell>
          <cell r="AQ180">
            <v>0</v>
          </cell>
          <cell r="AR180">
            <v>0</v>
          </cell>
          <cell r="AS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CW180">
            <v>0</v>
          </cell>
          <cell r="DF180" t="e">
            <v>#N/A</v>
          </cell>
        </row>
        <row r="181">
          <cell r="Q181">
            <v>0</v>
          </cell>
          <cell r="S181">
            <v>0</v>
          </cell>
          <cell r="U181">
            <v>0</v>
          </cell>
          <cell r="W181">
            <v>0</v>
          </cell>
          <cell r="Y181">
            <v>0</v>
          </cell>
          <cell r="AA181">
            <v>0</v>
          </cell>
          <cell r="AJ181">
            <v>0</v>
          </cell>
          <cell r="AK181">
            <v>0</v>
          </cell>
          <cell r="AL181">
            <v>0</v>
          </cell>
          <cell r="AM181">
            <v>0</v>
          </cell>
          <cell r="AN181">
            <v>0</v>
          </cell>
          <cell r="AO181">
            <v>0</v>
          </cell>
          <cell r="AP181">
            <v>0</v>
          </cell>
          <cell r="AQ181">
            <v>0</v>
          </cell>
          <cell r="AR181">
            <v>0</v>
          </cell>
          <cell r="AS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CW181">
            <v>0</v>
          </cell>
          <cell r="DF181" t="e">
            <v>#N/A</v>
          </cell>
        </row>
        <row r="182">
          <cell r="Q182">
            <v>0</v>
          </cell>
          <cell r="S182">
            <v>0</v>
          </cell>
          <cell r="U182">
            <v>0</v>
          </cell>
          <cell r="W182">
            <v>0</v>
          </cell>
          <cell r="Y182">
            <v>0</v>
          </cell>
          <cell r="AA182">
            <v>0</v>
          </cell>
          <cell r="AJ182">
            <v>0</v>
          </cell>
          <cell r="AK182">
            <v>0</v>
          </cell>
          <cell r="AL182">
            <v>0</v>
          </cell>
          <cell r="AM182">
            <v>0</v>
          </cell>
          <cell r="AN182">
            <v>0</v>
          </cell>
          <cell r="AO182">
            <v>0</v>
          </cell>
          <cell r="AP182">
            <v>0</v>
          </cell>
          <cell r="AQ182">
            <v>0</v>
          </cell>
          <cell r="AR182">
            <v>0</v>
          </cell>
          <cell r="AS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CW182">
            <v>0</v>
          </cell>
          <cell r="DF182" t="e">
            <v>#N/A</v>
          </cell>
        </row>
        <row r="183">
          <cell r="Q183">
            <v>0</v>
          </cell>
          <cell r="S183">
            <v>0</v>
          </cell>
          <cell r="U183">
            <v>0</v>
          </cell>
          <cell r="W183">
            <v>0</v>
          </cell>
          <cell r="Y183">
            <v>0</v>
          </cell>
          <cell r="AA183">
            <v>0</v>
          </cell>
          <cell r="AJ183">
            <v>0</v>
          </cell>
          <cell r="AK183">
            <v>0</v>
          </cell>
          <cell r="AL183">
            <v>0</v>
          </cell>
          <cell r="AM183">
            <v>0</v>
          </cell>
          <cell r="AN183">
            <v>0</v>
          </cell>
          <cell r="AO183">
            <v>0</v>
          </cell>
          <cell r="AP183">
            <v>0</v>
          </cell>
          <cell r="AQ183">
            <v>0</v>
          </cell>
          <cell r="AR183">
            <v>0</v>
          </cell>
          <cell r="AS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CW183">
            <v>0</v>
          </cell>
          <cell r="DF183" t="e">
            <v>#N/A</v>
          </cell>
        </row>
        <row r="184">
          <cell r="Q184">
            <v>0</v>
          </cell>
          <cell r="S184">
            <v>0</v>
          </cell>
          <cell r="U184">
            <v>0</v>
          </cell>
          <cell r="W184">
            <v>0</v>
          </cell>
          <cell r="Y184">
            <v>0</v>
          </cell>
          <cell r="AA184">
            <v>0</v>
          </cell>
          <cell r="AJ184">
            <v>0</v>
          </cell>
          <cell r="AK184">
            <v>0</v>
          </cell>
          <cell r="AL184">
            <v>0</v>
          </cell>
          <cell r="AM184">
            <v>0</v>
          </cell>
          <cell r="AN184">
            <v>0</v>
          </cell>
          <cell r="AO184">
            <v>0</v>
          </cell>
          <cell r="AP184">
            <v>0</v>
          </cell>
          <cell r="AQ184">
            <v>0</v>
          </cell>
          <cell r="AR184">
            <v>0</v>
          </cell>
          <cell r="AS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CW184">
            <v>0</v>
          </cell>
          <cell r="DF184" t="e">
            <v>#N/A</v>
          </cell>
        </row>
        <row r="185">
          <cell r="Q185">
            <v>0</v>
          </cell>
          <cell r="S185">
            <v>0</v>
          </cell>
          <cell r="U185">
            <v>0</v>
          </cell>
          <cell r="W185">
            <v>0</v>
          </cell>
          <cell r="Y185">
            <v>0</v>
          </cell>
          <cell r="AA185">
            <v>0</v>
          </cell>
          <cell r="AJ185">
            <v>0</v>
          </cell>
          <cell r="AK185">
            <v>0</v>
          </cell>
          <cell r="AL185">
            <v>0</v>
          </cell>
          <cell r="AM185">
            <v>0</v>
          </cell>
          <cell r="AN185">
            <v>0</v>
          </cell>
          <cell r="AO185">
            <v>0</v>
          </cell>
          <cell r="AP185">
            <v>0</v>
          </cell>
          <cell r="AQ185">
            <v>0</v>
          </cell>
          <cell r="AR185">
            <v>0</v>
          </cell>
          <cell r="AS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CW185">
            <v>0</v>
          </cell>
          <cell r="DF185" t="e">
            <v>#N/A</v>
          </cell>
        </row>
        <row r="186">
          <cell r="Q186">
            <v>0</v>
          </cell>
          <cell r="S186">
            <v>0</v>
          </cell>
          <cell r="U186">
            <v>0</v>
          </cell>
          <cell r="W186">
            <v>0</v>
          </cell>
          <cell r="Y186">
            <v>0</v>
          </cell>
          <cell r="AA186">
            <v>0</v>
          </cell>
          <cell r="AJ186">
            <v>0</v>
          </cell>
          <cell r="AK186">
            <v>0</v>
          </cell>
          <cell r="AL186">
            <v>0</v>
          </cell>
          <cell r="AM186">
            <v>0</v>
          </cell>
          <cell r="AN186">
            <v>0</v>
          </cell>
          <cell r="AO186">
            <v>0</v>
          </cell>
          <cell r="AP186">
            <v>0</v>
          </cell>
          <cell r="AQ186">
            <v>0</v>
          </cell>
          <cell r="AR186">
            <v>0</v>
          </cell>
          <cell r="AS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CW186">
            <v>0</v>
          </cell>
          <cell r="DF186" t="e">
            <v>#N/A</v>
          </cell>
        </row>
        <row r="187">
          <cell r="Q187">
            <v>0</v>
          </cell>
          <cell r="S187">
            <v>0</v>
          </cell>
          <cell r="U187">
            <v>0</v>
          </cell>
          <cell r="W187">
            <v>0</v>
          </cell>
          <cell r="Y187">
            <v>0</v>
          </cell>
          <cell r="AA187">
            <v>0</v>
          </cell>
          <cell r="AJ187">
            <v>0</v>
          </cell>
          <cell r="AK187">
            <v>0</v>
          </cell>
          <cell r="AL187">
            <v>0</v>
          </cell>
          <cell r="AM187">
            <v>0</v>
          </cell>
          <cell r="AN187">
            <v>0</v>
          </cell>
          <cell r="AO187">
            <v>0</v>
          </cell>
          <cell r="AP187">
            <v>0</v>
          </cell>
          <cell r="AQ187">
            <v>0</v>
          </cell>
          <cell r="AR187">
            <v>0</v>
          </cell>
          <cell r="AS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CW187">
            <v>0</v>
          </cell>
          <cell r="DF187" t="e">
            <v>#N/A</v>
          </cell>
        </row>
        <row r="188">
          <cell r="Q188">
            <v>0</v>
          </cell>
          <cell r="S188">
            <v>0</v>
          </cell>
          <cell r="U188">
            <v>0</v>
          </cell>
          <cell r="W188">
            <v>0</v>
          </cell>
          <cell r="Y188">
            <v>0</v>
          </cell>
          <cell r="AA188">
            <v>0</v>
          </cell>
          <cell r="AJ188">
            <v>0</v>
          </cell>
          <cell r="AK188">
            <v>0</v>
          </cell>
          <cell r="AL188">
            <v>0</v>
          </cell>
          <cell r="AM188">
            <v>0</v>
          </cell>
          <cell r="AN188">
            <v>0</v>
          </cell>
          <cell r="AO188">
            <v>0</v>
          </cell>
          <cell r="AP188">
            <v>0</v>
          </cell>
          <cell r="AQ188">
            <v>0</v>
          </cell>
          <cell r="AR188">
            <v>0</v>
          </cell>
          <cell r="AS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CW188">
            <v>0</v>
          </cell>
          <cell r="DF188" t="e">
            <v>#N/A</v>
          </cell>
        </row>
        <row r="189">
          <cell r="Q189">
            <v>0</v>
          </cell>
          <cell r="S189">
            <v>0</v>
          </cell>
          <cell r="U189">
            <v>0</v>
          </cell>
          <cell r="W189">
            <v>0</v>
          </cell>
          <cell r="Y189">
            <v>0</v>
          </cell>
          <cell r="AA189">
            <v>0</v>
          </cell>
          <cell r="AJ189">
            <v>0</v>
          </cell>
          <cell r="AK189">
            <v>0</v>
          </cell>
          <cell r="AL189">
            <v>0</v>
          </cell>
          <cell r="AM189">
            <v>0</v>
          </cell>
          <cell r="AN189">
            <v>0</v>
          </cell>
          <cell r="AO189">
            <v>0</v>
          </cell>
          <cell r="AP189">
            <v>0</v>
          </cell>
          <cell r="AQ189">
            <v>0</v>
          </cell>
          <cell r="AR189">
            <v>0</v>
          </cell>
          <cell r="AS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CW189">
            <v>0</v>
          </cell>
          <cell r="DF189" t="e">
            <v>#N/A</v>
          </cell>
        </row>
        <row r="190">
          <cell r="Q190">
            <v>0</v>
          </cell>
          <cell r="S190">
            <v>0</v>
          </cell>
          <cell r="U190">
            <v>0</v>
          </cell>
          <cell r="W190">
            <v>0</v>
          </cell>
          <cell r="Y190">
            <v>0</v>
          </cell>
          <cell r="AA190">
            <v>0</v>
          </cell>
          <cell r="AJ190">
            <v>0</v>
          </cell>
          <cell r="AK190">
            <v>0</v>
          </cell>
          <cell r="AL190">
            <v>0</v>
          </cell>
          <cell r="AM190">
            <v>0</v>
          </cell>
          <cell r="AN190">
            <v>0</v>
          </cell>
          <cell r="AO190">
            <v>0</v>
          </cell>
          <cell r="AP190">
            <v>0</v>
          </cell>
          <cell r="AQ190">
            <v>0</v>
          </cell>
          <cell r="AR190">
            <v>0</v>
          </cell>
          <cell r="AS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CW190">
            <v>0</v>
          </cell>
          <cell r="DF190" t="e">
            <v>#N/A</v>
          </cell>
        </row>
        <row r="191">
          <cell r="Q191">
            <v>0</v>
          </cell>
          <cell r="S191">
            <v>0</v>
          </cell>
          <cell r="U191">
            <v>0</v>
          </cell>
          <cell r="W191">
            <v>0</v>
          </cell>
          <cell r="Y191">
            <v>0</v>
          </cell>
          <cell r="AA191">
            <v>0</v>
          </cell>
          <cell r="AJ191">
            <v>0</v>
          </cell>
          <cell r="AK191">
            <v>0</v>
          </cell>
          <cell r="AL191">
            <v>0</v>
          </cell>
          <cell r="AM191">
            <v>0</v>
          </cell>
          <cell r="AN191">
            <v>0</v>
          </cell>
          <cell r="AO191">
            <v>0</v>
          </cell>
          <cell r="AP191">
            <v>0</v>
          </cell>
          <cell r="AQ191">
            <v>0</v>
          </cell>
          <cell r="AR191">
            <v>0</v>
          </cell>
          <cell r="AS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CW191">
            <v>0</v>
          </cell>
          <cell r="DF191" t="e">
            <v>#N/A</v>
          </cell>
        </row>
        <row r="192">
          <cell r="Q192">
            <v>0</v>
          </cell>
          <cell r="S192">
            <v>0</v>
          </cell>
          <cell r="U192">
            <v>0</v>
          </cell>
          <cell r="W192">
            <v>0</v>
          </cell>
          <cell r="Y192">
            <v>0</v>
          </cell>
          <cell r="AA192">
            <v>0</v>
          </cell>
          <cell r="AJ192">
            <v>0</v>
          </cell>
          <cell r="AK192">
            <v>0</v>
          </cell>
          <cell r="AL192">
            <v>0</v>
          </cell>
          <cell r="AM192">
            <v>0</v>
          </cell>
          <cell r="AN192">
            <v>0</v>
          </cell>
          <cell r="AO192">
            <v>0</v>
          </cell>
          <cell r="AP192">
            <v>0</v>
          </cell>
          <cell r="AQ192">
            <v>0</v>
          </cell>
          <cell r="AR192">
            <v>0</v>
          </cell>
          <cell r="AS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CW192">
            <v>0</v>
          </cell>
          <cell r="DF192" t="e">
            <v>#N/A</v>
          </cell>
        </row>
        <row r="193">
          <cell r="Q193">
            <v>0</v>
          </cell>
          <cell r="S193">
            <v>0</v>
          </cell>
          <cell r="U193">
            <v>0</v>
          </cell>
          <cell r="W193">
            <v>0</v>
          </cell>
          <cell r="Y193">
            <v>0</v>
          </cell>
          <cell r="AA193">
            <v>0</v>
          </cell>
          <cell r="AJ193">
            <v>0</v>
          </cell>
          <cell r="AK193">
            <v>0</v>
          </cell>
          <cell r="AL193">
            <v>0</v>
          </cell>
          <cell r="AM193">
            <v>0</v>
          </cell>
          <cell r="AN193">
            <v>0</v>
          </cell>
          <cell r="AO193">
            <v>0</v>
          </cell>
          <cell r="AP193">
            <v>0</v>
          </cell>
          <cell r="AQ193">
            <v>0</v>
          </cell>
          <cell r="AR193">
            <v>0</v>
          </cell>
          <cell r="AS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CW193">
            <v>0</v>
          </cell>
          <cell r="DF193" t="e">
            <v>#N/A</v>
          </cell>
        </row>
        <row r="194">
          <cell r="Q194">
            <v>0</v>
          </cell>
          <cell r="S194">
            <v>0</v>
          </cell>
          <cell r="U194">
            <v>0</v>
          </cell>
          <cell r="W194">
            <v>0</v>
          </cell>
          <cell r="Y194">
            <v>0</v>
          </cell>
          <cell r="AA194">
            <v>0</v>
          </cell>
          <cell r="AJ194">
            <v>0</v>
          </cell>
          <cell r="AK194">
            <v>0</v>
          </cell>
          <cell r="AL194">
            <v>0</v>
          </cell>
          <cell r="AM194">
            <v>0</v>
          </cell>
          <cell r="AN194">
            <v>0</v>
          </cell>
          <cell r="AO194">
            <v>0</v>
          </cell>
          <cell r="AP194">
            <v>0</v>
          </cell>
          <cell r="AQ194">
            <v>0</v>
          </cell>
          <cell r="AR194">
            <v>0</v>
          </cell>
          <cell r="AS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CW194">
            <v>0</v>
          </cell>
          <cell r="DF194" t="e">
            <v>#N/A</v>
          </cell>
        </row>
        <row r="195">
          <cell r="Q195">
            <v>0</v>
          </cell>
          <cell r="S195">
            <v>0</v>
          </cell>
          <cell r="U195">
            <v>0</v>
          </cell>
          <cell r="W195">
            <v>0</v>
          </cell>
          <cell r="Y195">
            <v>0</v>
          </cell>
          <cell r="AA195">
            <v>0</v>
          </cell>
          <cell r="AJ195">
            <v>0</v>
          </cell>
          <cell r="AK195">
            <v>0</v>
          </cell>
          <cell r="AL195">
            <v>0</v>
          </cell>
          <cell r="AM195">
            <v>0</v>
          </cell>
          <cell r="AN195">
            <v>0</v>
          </cell>
          <cell r="AO195">
            <v>0</v>
          </cell>
          <cell r="AP195">
            <v>0</v>
          </cell>
          <cell r="AQ195">
            <v>0</v>
          </cell>
          <cell r="AR195">
            <v>0</v>
          </cell>
          <cell r="AS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CW195">
            <v>0</v>
          </cell>
          <cell r="DF195" t="e">
            <v>#N/A</v>
          </cell>
        </row>
        <row r="196">
          <cell r="Q196">
            <v>0</v>
          </cell>
          <cell r="S196">
            <v>0</v>
          </cell>
          <cell r="U196">
            <v>0</v>
          </cell>
          <cell r="W196">
            <v>0</v>
          </cell>
          <cell r="Y196">
            <v>0</v>
          </cell>
          <cell r="AA196">
            <v>0</v>
          </cell>
          <cell r="AJ196">
            <v>0</v>
          </cell>
          <cell r="AK196">
            <v>0</v>
          </cell>
          <cell r="AL196">
            <v>0</v>
          </cell>
          <cell r="AM196">
            <v>0</v>
          </cell>
          <cell r="AN196">
            <v>0</v>
          </cell>
          <cell r="AO196">
            <v>0</v>
          </cell>
          <cell r="AP196">
            <v>0</v>
          </cell>
          <cell r="AQ196">
            <v>0</v>
          </cell>
          <cell r="AR196">
            <v>0</v>
          </cell>
          <cell r="AS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CW196">
            <v>0</v>
          </cell>
          <cell r="DF196" t="e">
            <v>#N/A</v>
          </cell>
        </row>
        <row r="197">
          <cell r="Q197">
            <v>0</v>
          </cell>
          <cell r="S197">
            <v>0</v>
          </cell>
          <cell r="U197">
            <v>0</v>
          </cell>
          <cell r="W197">
            <v>0</v>
          </cell>
          <cell r="Y197">
            <v>0</v>
          </cell>
          <cell r="AA197">
            <v>0</v>
          </cell>
          <cell r="AJ197">
            <v>0</v>
          </cell>
          <cell r="AK197">
            <v>0</v>
          </cell>
          <cell r="AL197">
            <v>0</v>
          </cell>
          <cell r="AM197">
            <v>0</v>
          </cell>
          <cell r="AN197">
            <v>0</v>
          </cell>
          <cell r="AO197">
            <v>0</v>
          </cell>
          <cell r="AP197">
            <v>0</v>
          </cell>
          <cell r="AQ197">
            <v>0</v>
          </cell>
          <cell r="AR197">
            <v>0</v>
          </cell>
          <cell r="AS197">
            <v>0</v>
          </cell>
          <cell r="BD197">
            <v>0</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0</v>
          </cell>
          <cell r="BS197">
            <v>0</v>
          </cell>
          <cell r="BT197">
            <v>0</v>
          </cell>
          <cell r="BU197">
            <v>0</v>
          </cell>
          <cell r="BV197">
            <v>0</v>
          </cell>
          <cell r="BW197">
            <v>0</v>
          </cell>
          <cell r="CW197">
            <v>0</v>
          </cell>
          <cell r="DF197" t="e">
            <v>#N/A</v>
          </cell>
        </row>
        <row r="198">
          <cell r="Q198">
            <v>0</v>
          </cell>
          <cell r="S198">
            <v>0</v>
          </cell>
          <cell r="U198">
            <v>0</v>
          </cell>
          <cell r="W198">
            <v>0</v>
          </cell>
          <cell r="Y198">
            <v>0</v>
          </cell>
          <cell r="AA198">
            <v>0</v>
          </cell>
          <cell r="AJ198">
            <v>0</v>
          </cell>
          <cell r="AK198">
            <v>0</v>
          </cell>
          <cell r="AL198">
            <v>0</v>
          </cell>
          <cell r="AM198">
            <v>0</v>
          </cell>
          <cell r="AN198">
            <v>0</v>
          </cell>
          <cell r="AO198">
            <v>0</v>
          </cell>
          <cell r="AP198">
            <v>0</v>
          </cell>
          <cell r="AQ198">
            <v>0</v>
          </cell>
          <cell r="AR198">
            <v>0</v>
          </cell>
          <cell r="AS198">
            <v>0</v>
          </cell>
          <cell r="BD198">
            <v>0</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cell r="BS198">
            <v>0</v>
          </cell>
          <cell r="BT198">
            <v>0</v>
          </cell>
          <cell r="BU198">
            <v>0</v>
          </cell>
          <cell r="BV198">
            <v>0</v>
          </cell>
          <cell r="BW198">
            <v>0</v>
          </cell>
          <cell r="CW198">
            <v>0</v>
          </cell>
          <cell r="DF198" t="e">
            <v>#N/A</v>
          </cell>
        </row>
        <row r="199">
          <cell r="Q199">
            <v>0</v>
          </cell>
          <cell r="S199">
            <v>0</v>
          </cell>
          <cell r="U199">
            <v>0</v>
          </cell>
          <cell r="W199">
            <v>0</v>
          </cell>
          <cell r="Y199">
            <v>0</v>
          </cell>
          <cell r="AA199">
            <v>0</v>
          </cell>
          <cell r="AJ199">
            <v>0</v>
          </cell>
          <cell r="AK199">
            <v>0</v>
          </cell>
          <cell r="AL199">
            <v>0</v>
          </cell>
          <cell r="AM199">
            <v>0</v>
          </cell>
          <cell r="AN199">
            <v>0</v>
          </cell>
          <cell r="AO199">
            <v>0</v>
          </cell>
          <cell r="AP199">
            <v>0</v>
          </cell>
          <cell r="AQ199">
            <v>0</v>
          </cell>
          <cell r="AR199">
            <v>0</v>
          </cell>
          <cell r="AS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CW199">
            <v>0</v>
          </cell>
          <cell r="DF199" t="e">
            <v>#N/A</v>
          </cell>
        </row>
        <row r="200">
          <cell r="Q200">
            <v>0</v>
          </cell>
          <cell r="S200">
            <v>0</v>
          </cell>
          <cell r="U200">
            <v>0</v>
          </cell>
          <cell r="W200">
            <v>0</v>
          </cell>
          <cell r="Y200">
            <v>0</v>
          </cell>
          <cell r="AA200">
            <v>0</v>
          </cell>
          <cell r="AJ200">
            <v>0</v>
          </cell>
          <cell r="AK200">
            <v>0</v>
          </cell>
          <cell r="AL200">
            <v>0</v>
          </cell>
          <cell r="AM200">
            <v>0</v>
          </cell>
          <cell r="AN200">
            <v>0</v>
          </cell>
          <cell r="AO200">
            <v>0</v>
          </cell>
          <cell r="AP200">
            <v>0</v>
          </cell>
          <cell r="AQ200">
            <v>0</v>
          </cell>
          <cell r="AR200">
            <v>0</v>
          </cell>
          <cell r="AS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CW200">
            <v>0</v>
          </cell>
          <cell r="DF200" t="e">
            <v>#N/A</v>
          </cell>
        </row>
        <row r="201">
          <cell r="Q201">
            <v>0</v>
          </cell>
          <cell r="S201">
            <v>0</v>
          </cell>
          <cell r="U201">
            <v>0</v>
          </cell>
          <cell r="W201">
            <v>0</v>
          </cell>
          <cell r="Y201">
            <v>0</v>
          </cell>
          <cell r="AA201">
            <v>0</v>
          </cell>
          <cell r="AJ201">
            <v>0</v>
          </cell>
          <cell r="AK201">
            <v>0</v>
          </cell>
          <cell r="AL201">
            <v>0</v>
          </cell>
          <cell r="AM201">
            <v>0</v>
          </cell>
          <cell r="AN201">
            <v>0</v>
          </cell>
          <cell r="AO201">
            <v>0</v>
          </cell>
          <cell r="AP201">
            <v>0</v>
          </cell>
          <cell r="AQ201">
            <v>0</v>
          </cell>
          <cell r="AR201">
            <v>0</v>
          </cell>
          <cell r="AS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CW201">
            <v>0</v>
          </cell>
          <cell r="DF201" t="e">
            <v>#N/A</v>
          </cell>
        </row>
        <row r="202">
          <cell r="Q202">
            <v>0</v>
          </cell>
          <cell r="S202">
            <v>0</v>
          </cell>
          <cell r="U202">
            <v>0</v>
          </cell>
          <cell r="W202">
            <v>0</v>
          </cell>
          <cell r="Y202">
            <v>0</v>
          </cell>
          <cell r="AA202">
            <v>0</v>
          </cell>
          <cell r="AJ202">
            <v>0</v>
          </cell>
          <cell r="AK202">
            <v>0</v>
          </cell>
          <cell r="AL202">
            <v>0</v>
          </cell>
          <cell r="AM202">
            <v>0</v>
          </cell>
          <cell r="AN202">
            <v>0</v>
          </cell>
          <cell r="AO202">
            <v>0</v>
          </cell>
          <cell r="AP202">
            <v>0</v>
          </cell>
          <cell r="AQ202">
            <v>0</v>
          </cell>
          <cell r="AR202">
            <v>0</v>
          </cell>
          <cell r="AS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CW202">
            <v>0</v>
          </cell>
          <cell r="DF202" t="e">
            <v>#N/A</v>
          </cell>
        </row>
        <row r="203">
          <cell r="Q203">
            <v>0</v>
          </cell>
          <cell r="S203">
            <v>0</v>
          </cell>
          <cell r="U203">
            <v>0</v>
          </cell>
          <cell r="W203">
            <v>0</v>
          </cell>
          <cell r="Y203">
            <v>0</v>
          </cell>
          <cell r="AA203">
            <v>0</v>
          </cell>
          <cell r="AJ203">
            <v>0</v>
          </cell>
          <cell r="AK203">
            <v>0</v>
          </cell>
          <cell r="AL203">
            <v>0</v>
          </cell>
          <cell r="AM203">
            <v>0</v>
          </cell>
          <cell r="AN203">
            <v>0</v>
          </cell>
          <cell r="AO203">
            <v>0</v>
          </cell>
          <cell r="AP203">
            <v>0</v>
          </cell>
          <cell r="AQ203">
            <v>0</v>
          </cell>
          <cell r="AR203">
            <v>0</v>
          </cell>
          <cell r="AS203">
            <v>0</v>
          </cell>
          <cell r="BD203">
            <v>0</v>
          </cell>
          <cell r="BE203">
            <v>0</v>
          </cell>
          <cell r="BF203">
            <v>0</v>
          </cell>
          <cell r="BG203">
            <v>0</v>
          </cell>
          <cell r="BH203">
            <v>0</v>
          </cell>
          <cell r="BI203">
            <v>0</v>
          </cell>
          <cell r="BJ203">
            <v>0</v>
          </cell>
          <cell r="BK203">
            <v>0</v>
          </cell>
          <cell r="BL203">
            <v>0</v>
          </cell>
          <cell r="BM203">
            <v>0</v>
          </cell>
          <cell r="BN203">
            <v>0</v>
          </cell>
          <cell r="BO203">
            <v>0</v>
          </cell>
          <cell r="BP203">
            <v>0</v>
          </cell>
          <cell r="BQ203">
            <v>0</v>
          </cell>
          <cell r="BR203">
            <v>0</v>
          </cell>
          <cell r="BS203">
            <v>0</v>
          </cell>
          <cell r="BT203">
            <v>0</v>
          </cell>
          <cell r="BU203">
            <v>0</v>
          </cell>
          <cell r="BV203">
            <v>0</v>
          </cell>
          <cell r="BW203">
            <v>0</v>
          </cell>
          <cell r="CW203">
            <v>0</v>
          </cell>
          <cell r="DF203" t="e">
            <v>#N/A</v>
          </cell>
        </row>
        <row r="204">
          <cell r="Q204">
            <v>0</v>
          </cell>
          <cell r="S204">
            <v>0</v>
          </cell>
          <cell r="U204">
            <v>0</v>
          </cell>
          <cell r="W204">
            <v>0</v>
          </cell>
          <cell r="Y204">
            <v>0</v>
          </cell>
          <cell r="AA204">
            <v>0</v>
          </cell>
          <cell r="AJ204">
            <v>0</v>
          </cell>
          <cell r="AK204">
            <v>0</v>
          </cell>
          <cell r="AL204">
            <v>0</v>
          </cell>
          <cell r="AM204">
            <v>0</v>
          </cell>
          <cell r="AN204">
            <v>0</v>
          </cell>
          <cell r="AO204">
            <v>0</v>
          </cell>
          <cell r="AP204">
            <v>0</v>
          </cell>
          <cell r="AQ204">
            <v>0</v>
          </cell>
          <cell r="AR204">
            <v>0</v>
          </cell>
          <cell r="AS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CW204">
            <v>0</v>
          </cell>
          <cell r="DF204" t="e">
            <v>#N/A</v>
          </cell>
        </row>
        <row r="205">
          <cell r="Q205">
            <v>0</v>
          </cell>
          <cell r="S205">
            <v>0</v>
          </cell>
          <cell r="U205">
            <v>0</v>
          </cell>
          <cell r="W205">
            <v>0</v>
          </cell>
          <cell r="Y205">
            <v>0</v>
          </cell>
          <cell r="AA205">
            <v>0</v>
          </cell>
          <cell r="AJ205">
            <v>0</v>
          </cell>
          <cell r="AK205">
            <v>0</v>
          </cell>
          <cell r="AL205">
            <v>0</v>
          </cell>
          <cell r="AM205">
            <v>0</v>
          </cell>
          <cell r="AN205">
            <v>0</v>
          </cell>
          <cell r="AO205">
            <v>0</v>
          </cell>
          <cell r="AP205">
            <v>0</v>
          </cell>
          <cell r="AQ205">
            <v>0</v>
          </cell>
          <cell r="AR205">
            <v>0</v>
          </cell>
          <cell r="AS205">
            <v>0</v>
          </cell>
          <cell r="BD205">
            <v>0</v>
          </cell>
          <cell r="BE205">
            <v>0</v>
          </cell>
          <cell r="BF205">
            <v>0</v>
          </cell>
          <cell r="BG205">
            <v>0</v>
          </cell>
          <cell r="BH205">
            <v>0</v>
          </cell>
          <cell r="BI205">
            <v>0</v>
          </cell>
          <cell r="BJ205">
            <v>0</v>
          </cell>
          <cell r="BK205">
            <v>0</v>
          </cell>
          <cell r="BL205">
            <v>0</v>
          </cell>
          <cell r="BM205">
            <v>0</v>
          </cell>
          <cell r="BN205">
            <v>0</v>
          </cell>
          <cell r="BO205">
            <v>0</v>
          </cell>
          <cell r="BP205">
            <v>0</v>
          </cell>
          <cell r="BQ205">
            <v>0</v>
          </cell>
          <cell r="BR205">
            <v>0</v>
          </cell>
          <cell r="BS205">
            <v>0</v>
          </cell>
          <cell r="BT205">
            <v>0</v>
          </cell>
          <cell r="BU205">
            <v>0</v>
          </cell>
          <cell r="BV205">
            <v>0</v>
          </cell>
          <cell r="BW205">
            <v>0</v>
          </cell>
          <cell r="CW205">
            <v>0</v>
          </cell>
          <cell r="DF205" t="e">
            <v>#N/A</v>
          </cell>
        </row>
        <row r="206">
          <cell r="Q206">
            <v>0</v>
          </cell>
          <cell r="S206">
            <v>0</v>
          </cell>
          <cell r="U206">
            <v>0</v>
          </cell>
          <cell r="W206">
            <v>0</v>
          </cell>
          <cell r="Y206">
            <v>0</v>
          </cell>
          <cell r="AA206">
            <v>0</v>
          </cell>
          <cell r="AJ206">
            <v>0</v>
          </cell>
          <cell r="AK206">
            <v>0</v>
          </cell>
          <cell r="AL206">
            <v>0</v>
          </cell>
          <cell r="AM206">
            <v>0</v>
          </cell>
          <cell r="AN206">
            <v>0</v>
          </cell>
          <cell r="AO206">
            <v>0</v>
          </cell>
          <cell r="AP206">
            <v>0</v>
          </cell>
          <cell r="AQ206">
            <v>0</v>
          </cell>
          <cell r="AR206">
            <v>0</v>
          </cell>
          <cell r="AS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CW206">
            <v>0</v>
          </cell>
          <cell r="DF206" t="e">
            <v>#N/A</v>
          </cell>
        </row>
        <row r="207">
          <cell r="Q207">
            <v>0</v>
          </cell>
          <cell r="S207">
            <v>0</v>
          </cell>
          <cell r="U207">
            <v>0</v>
          </cell>
          <cell r="W207">
            <v>0</v>
          </cell>
          <cell r="Y207">
            <v>0</v>
          </cell>
          <cell r="AA207">
            <v>0</v>
          </cell>
          <cell r="AJ207">
            <v>0</v>
          </cell>
          <cell r="AK207">
            <v>0</v>
          </cell>
          <cell r="AL207">
            <v>0</v>
          </cell>
          <cell r="AM207">
            <v>0</v>
          </cell>
          <cell r="AN207">
            <v>0</v>
          </cell>
          <cell r="AO207">
            <v>0</v>
          </cell>
          <cell r="AP207">
            <v>0</v>
          </cell>
          <cell r="AQ207">
            <v>0</v>
          </cell>
          <cell r="AR207">
            <v>0</v>
          </cell>
          <cell r="AS207">
            <v>0</v>
          </cell>
          <cell r="BD207">
            <v>0</v>
          </cell>
          <cell r="BE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CW207">
            <v>0</v>
          </cell>
          <cell r="DF207" t="e">
            <v>#N/A</v>
          </cell>
        </row>
        <row r="208">
          <cell r="Q208">
            <v>0</v>
          </cell>
          <cell r="S208">
            <v>0</v>
          </cell>
          <cell r="U208">
            <v>0</v>
          </cell>
          <cell r="W208">
            <v>0</v>
          </cell>
          <cell r="Y208">
            <v>0</v>
          </cell>
          <cell r="AA208">
            <v>0</v>
          </cell>
          <cell r="AJ208">
            <v>0</v>
          </cell>
          <cell r="AK208">
            <v>0</v>
          </cell>
          <cell r="AL208">
            <v>0</v>
          </cell>
          <cell r="AM208">
            <v>0</v>
          </cell>
          <cell r="AN208">
            <v>0</v>
          </cell>
          <cell r="AO208">
            <v>0</v>
          </cell>
          <cell r="AP208">
            <v>0</v>
          </cell>
          <cell r="AQ208">
            <v>0</v>
          </cell>
          <cell r="AR208">
            <v>0</v>
          </cell>
          <cell r="AS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CW208">
            <v>0</v>
          </cell>
          <cell r="DF208" t="e">
            <v>#N/A</v>
          </cell>
        </row>
        <row r="209">
          <cell r="Q209">
            <v>0</v>
          </cell>
          <cell r="S209">
            <v>0</v>
          </cell>
          <cell r="U209">
            <v>0</v>
          </cell>
          <cell r="W209">
            <v>0</v>
          </cell>
          <cell r="Y209">
            <v>0</v>
          </cell>
          <cell r="AA209">
            <v>0</v>
          </cell>
          <cell r="AJ209">
            <v>0</v>
          </cell>
          <cell r="AK209">
            <v>0</v>
          </cell>
          <cell r="AL209">
            <v>0</v>
          </cell>
          <cell r="AM209">
            <v>0</v>
          </cell>
          <cell r="AN209">
            <v>0</v>
          </cell>
          <cell r="AO209">
            <v>0</v>
          </cell>
          <cell r="AP209">
            <v>0</v>
          </cell>
          <cell r="AQ209">
            <v>0</v>
          </cell>
          <cell r="AR209">
            <v>0</v>
          </cell>
          <cell r="AS209">
            <v>0</v>
          </cell>
          <cell r="BD209">
            <v>0</v>
          </cell>
          <cell r="BE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CW209">
            <v>0</v>
          </cell>
          <cell r="DF209" t="e">
            <v>#N/A</v>
          </cell>
        </row>
        <row r="210">
          <cell r="Q210">
            <v>0</v>
          </cell>
          <cell r="S210">
            <v>0</v>
          </cell>
          <cell r="U210">
            <v>0</v>
          </cell>
          <cell r="W210">
            <v>0</v>
          </cell>
          <cell r="Y210">
            <v>0</v>
          </cell>
          <cell r="AA210">
            <v>0</v>
          </cell>
          <cell r="AJ210">
            <v>0</v>
          </cell>
          <cell r="AK210">
            <v>0</v>
          </cell>
          <cell r="AL210">
            <v>0</v>
          </cell>
          <cell r="AM210">
            <v>0</v>
          </cell>
          <cell r="AN210">
            <v>0</v>
          </cell>
          <cell r="AO210">
            <v>0</v>
          </cell>
          <cell r="AP210">
            <v>0</v>
          </cell>
          <cell r="AQ210">
            <v>0</v>
          </cell>
          <cell r="AR210">
            <v>0</v>
          </cell>
          <cell r="AS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CW210">
            <v>0</v>
          </cell>
          <cell r="DF210" t="e">
            <v>#N/A</v>
          </cell>
        </row>
        <row r="211">
          <cell r="Q211">
            <v>0</v>
          </cell>
          <cell r="S211">
            <v>0</v>
          </cell>
          <cell r="U211">
            <v>0</v>
          </cell>
          <cell r="W211">
            <v>0</v>
          </cell>
          <cell r="Y211">
            <v>0</v>
          </cell>
          <cell r="AA211">
            <v>0</v>
          </cell>
          <cell r="AJ211">
            <v>0</v>
          </cell>
          <cell r="AK211">
            <v>0</v>
          </cell>
          <cell r="AL211">
            <v>0</v>
          </cell>
          <cell r="AM211">
            <v>0</v>
          </cell>
          <cell r="AN211">
            <v>0</v>
          </cell>
          <cell r="AO211">
            <v>0</v>
          </cell>
          <cell r="AP211">
            <v>0</v>
          </cell>
          <cell r="AQ211">
            <v>0</v>
          </cell>
          <cell r="AR211">
            <v>0</v>
          </cell>
          <cell r="AS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CW211">
            <v>0</v>
          </cell>
          <cell r="DF211" t="e">
            <v>#N/A</v>
          </cell>
        </row>
        <row r="212">
          <cell r="Q212">
            <v>0</v>
          </cell>
          <cell r="S212">
            <v>0</v>
          </cell>
          <cell r="U212">
            <v>0</v>
          </cell>
          <cell r="W212">
            <v>0</v>
          </cell>
          <cell r="Y212">
            <v>0</v>
          </cell>
          <cell r="AA212">
            <v>0</v>
          </cell>
          <cell r="AJ212">
            <v>0</v>
          </cell>
          <cell r="AK212">
            <v>0</v>
          </cell>
          <cell r="AL212">
            <v>0</v>
          </cell>
          <cell r="AM212">
            <v>0</v>
          </cell>
          <cell r="AN212">
            <v>0</v>
          </cell>
          <cell r="AO212">
            <v>0</v>
          </cell>
          <cell r="AP212">
            <v>0</v>
          </cell>
          <cell r="AQ212">
            <v>0</v>
          </cell>
          <cell r="AR212">
            <v>0</v>
          </cell>
          <cell r="AS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CW212">
            <v>0</v>
          </cell>
          <cell r="DF212" t="e">
            <v>#N/A</v>
          </cell>
        </row>
        <row r="213">
          <cell r="Q213">
            <v>0</v>
          </cell>
          <cell r="S213">
            <v>0</v>
          </cell>
          <cell r="U213">
            <v>0</v>
          </cell>
          <cell r="W213">
            <v>0</v>
          </cell>
          <cell r="Y213">
            <v>0</v>
          </cell>
          <cell r="AA213">
            <v>0</v>
          </cell>
          <cell r="AJ213">
            <v>0</v>
          </cell>
          <cell r="AK213">
            <v>0</v>
          </cell>
          <cell r="AL213">
            <v>0</v>
          </cell>
          <cell r="AM213">
            <v>0</v>
          </cell>
          <cell r="AN213">
            <v>0</v>
          </cell>
          <cell r="AO213">
            <v>0</v>
          </cell>
          <cell r="AP213">
            <v>0</v>
          </cell>
          <cell r="AQ213">
            <v>0</v>
          </cell>
          <cell r="AR213">
            <v>0</v>
          </cell>
          <cell r="AS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CW213">
            <v>0</v>
          </cell>
          <cell r="DF213" t="e">
            <v>#N/A</v>
          </cell>
        </row>
        <row r="214">
          <cell r="Q214">
            <v>0</v>
          </cell>
          <cell r="S214">
            <v>0</v>
          </cell>
          <cell r="U214">
            <v>0</v>
          </cell>
          <cell r="W214">
            <v>0</v>
          </cell>
          <cell r="Y214">
            <v>0</v>
          </cell>
          <cell r="AA214">
            <v>0</v>
          </cell>
          <cell r="AJ214">
            <v>0</v>
          </cell>
          <cell r="AK214">
            <v>0</v>
          </cell>
          <cell r="AL214">
            <v>0</v>
          </cell>
          <cell r="AM214">
            <v>0</v>
          </cell>
          <cell r="AN214">
            <v>0</v>
          </cell>
          <cell r="AO214">
            <v>0</v>
          </cell>
          <cell r="AP214">
            <v>0</v>
          </cell>
          <cell r="AQ214">
            <v>0</v>
          </cell>
          <cell r="AR214">
            <v>0</v>
          </cell>
          <cell r="AS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CW214">
            <v>0</v>
          </cell>
          <cell r="DF214" t="e">
            <v>#N/A</v>
          </cell>
        </row>
        <row r="215">
          <cell r="Q215">
            <v>0</v>
          </cell>
          <cell r="S215">
            <v>0</v>
          </cell>
          <cell r="U215">
            <v>0</v>
          </cell>
          <cell r="W215">
            <v>0</v>
          </cell>
          <cell r="Y215">
            <v>0</v>
          </cell>
          <cell r="AA215">
            <v>0</v>
          </cell>
          <cell r="AJ215">
            <v>0</v>
          </cell>
          <cell r="AK215">
            <v>0</v>
          </cell>
          <cell r="AL215">
            <v>0</v>
          </cell>
          <cell r="AM215">
            <v>0</v>
          </cell>
          <cell r="AN215">
            <v>0</v>
          </cell>
          <cell r="AO215">
            <v>0</v>
          </cell>
          <cell r="AP215">
            <v>0</v>
          </cell>
          <cell r="AQ215">
            <v>0</v>
          </cell>
          <cell r="AR215">
            <v>0</v>
          </cell>
          <cell r="AS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CW215">
            <v>0</v>
          </cell>
          <cell r="DF215" t="e">
            <v>#N/A</v>
          </cell>
        </row>
        <row r="216">
          <cell r="Q216">
            <v>0</v>
          </cell>
          <cell r="S216">
            <v>0</v>
          </cell>
          <cell r="U216">
            <v>0</v>
          </cell>
          <cell r="W216">
            <v>0</v>
          </cell>
          <cell r="Y216">
            <v>0</v>
          </cell>
          <cell r="AA216">
            <v>0</v>
          </cell>
          <cell r="AJ216">
            <v>0</v>
          </cell>
          <cell r="AK216">
            <v>0</v>
          </cell>
          <cell r="AL216">
            <v>0</v>
          </cell>
          <cell r="AM216">
            <v>0</v>
          </cell>
          <cell r="AN216">
            <v>0</v>
          </cell>
          <cell r="AO216">
            <v>0</v>
          </cell>
          <cell r="AP216">
            <v>0</v>
          </cell>
          <cell r="AQ216">
            <v>0</v>
          </cell>
          <cell r="AR216">
            <v>0</v>
          </cell>
          <cell r="AS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CW216">
            <v>0</v>
          </cell>
          <cell r="DF216" t="e">
            <v>#N/A</v>
          </cell>
        </row>
        <row r="217">
          <cell r="Q217">
            <v>0</v>
          </cell>
          <cell r="S217">
            <v>0</v>
          </cell>
          <cell r="U217">
            <v>0</v>
          </cell>
          <cell r="W217">
            <v>0</v>
          </cell>
          <cell r="Y217">
            <v>0</v>
          </cell>
          <cell r="AA217">
            <v>0</v>
          </cell>
          <cell r="AJ217">
            <v>0</v>
          </cell>
          <cell r="AK217">
            <v>0</v>
          </cell>
          <cell r="AL217">
            <v>0</v>
          </cell>
          <cell r="AM217">
            <v>0</v>
          </cell>
          <cell r="AN217">
            <v>0</v>
          </cell>
          <cell r="AO217">
            <v>0</v>
          </cell>
          <cell r="AP217">
            <v>0</v>
          </cell>
          <cell r="AQ217">
            <v>0</v>
          </cell>
          <cell r="AR217">
            <v>0</v>
          </cell>
          <cell r="AS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CW217">
            <v>0</v>
          </cell>
          <cell r="DF217" t="e">
            <v>#N/A</v>
          </cell>
        </row>
        <row r="218">
          <cell r="Q218">
            <v>0</v>
          </cell>
          <cell r="S218">
            <v>0</v>
          </cell>
          <cell r="U218">
            <v>0</v>
          </cell>
          <cell r="W218">
            <v>0</v>
          </cell>
          <cell r="Y218">
            <v>0</v>
          </cell>
          <cell r="AA218">
            <v>0</v>
          </cell>
          <cell r="AJ218">
            <v>0</v>
          </cell>
          <cell r="AK218">
            <v>0</v>
          </cell>
          <cell r="AL218">
            <v>0</v>
          </cell>
          <cell r="AM218">
            <v>0</v>
          </cell>
          <cell r="AN218">
            <v>0</v>
          </cell>
          <cell r="AO218">
            <v>0</v>
          </cell>
          <cell r="AP218">
            <v>0</v>
          </cell>
          <cell r="AQ218">
            <v>0</v>
          </cell>
          <cell r="AR218">
            <v>0</v>
          </cell>
          <cell r="AS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CW218">
            <v>0</v>
          </cell>
          <cell r="DF218" t="e">
            <v>#N/A</v>
          </cell>
        </row>
        <row r="219">
          <cell r="Q219">
            <v>0</v>
          </cell>
          <cell r="S219">
            <v>0</v>
          </cell>
          <cell r="U219">
            <v>0</v>
          </cell>
          <cell r="W219">
            <v>0</v>
          </cell>
          <cell r="Y219">
            <v>0</v>
          </cell>
          <cell r="AA219">
            <v>0</v>
          </cell>
          <cell r="AJ219">
            <v>0</v>
          </cell>
          <cell r="AK219">
            <v>0</v>
          </cell>
          <cell r="AL219">
            <v>0</v>
          </cell>
          <cell r="AM219">
            <v>0</v>
          </cell>
          <cell r="AN219">
            <v>0</v>
          </cell>
          <cell r="AO219">
            <v>0</v>
          </cell>
          <cell r="AP219">
            <v>0</v>
          </cell>
          <cell r="AQ219">
            <v>0</v>
          </cell>
          <cell r="AR219">
            <v>0</v>
          </cell>
          <cell r="AS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CW219">
            <v>0</v>
          </cell>
          <cell r="DF219" t="e">
            <v>#N/A</v>
          </cell>
        </row>
        <row r="220">
          <cell r="Q220">
            <v>0</v>
          </cell>
          <cell r="S220">
            <v>0</v>
          </cell>
          <cell r="U220">
            <v>0</v>
          </cell>
          <cell r="W220">
            <v>0</v>
          </cell>
          <cell r="Y220">
            <v>0</v>
          </cell>
          <cell r="AA220">
            <v>0</v>
          </cell>
          <cell r="AJ220">
            <v>0</v>
          </cell>
          <cell r="AK220">
            <v>0</v>
          </cell>
          <cell r="AL220">
            <v>0</v>
          </cell>
          <cell r="AM220">
            <v>0</v>
          </cell>
          <cell r="AN220">
            <v>0</v>
          </cell>
          <cell r="AO220">
            <v>0</v>
          </cell>
          <cell r="AP220">
            <v>0</v>
          </cell>
          <cell r="AQ220">
            <v>0</v>
          </cell>
          <cell r="AR220">
            <v>0</v>
          </cell>
          <cell r="AS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CW220">
            <v>0</v>
          </cell>
          <cell r="DF220" t="e">
            <v>#N/A</v>
          </cell>
        </row>
        <row r="221">
          <cell r="Q221">
            <v>0</v>
          </cell>
          <cell r="S221">
            <v>0</v>
          </cell>
          <cell r="U221">
            <v>0</v>
          </cell>
          <cell r="W221">
            <v>0</v>
          </cell>
          <cell r="Y221">
            <v>0</v>
          </cell>
          <cell r="AA221">
            <v>0</v>
          </cell>
          <cell r="AJ221">
            <v>0</v>
          </cell>
          <cell r="AK221">
            <v>0</v>
          </cell>
          <cell r="AL221">
            <v>0</v>
          </cell>
          <cell r="AM221">
            <v>0</v>
          </cell>
          <cell r="AN221">
            <v>0</v>
          </cell>
          <cell r="AO221">
            <v>0</v>
          </cell>
          <cell r="AP221">
            <v>0</v>
          </cell>
          <cell r="AQ221">
            <v>0</v>
          </cell>
          <cell r="AR221">
            <v>0</v>
          </cell>
          <cell r="AS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CW221">
            <v>0</v>
          </cell>
          <cell r="DF221" t="e">
            <v>#N/A</v>
          </cell>
        </row>
        <row r="222">
          <cell r="Q222">
            <v>0</v>
          </cell>
          <cell r="S222">
            <v>0</v>
          </cell>
          <cell r="U222">
            <v>0</v>
          </cell>
          <cell r="W222">
            <v>0</v>
          </cell>
          <cell r="Y222">
            <v>0</v>
          </cell>
          <cell r="AA222">
            <v>0</v>
          </cell>
          <cell r="AJ222">
            <v>0</v>
          </cell>
          <cell r="AK222">
            <v>0</v>
          </cell>
          <cell r="AL222">
            <v>0</v>
          </cell>
          <cell r="AM222">
            <v>0</v>
          </cell>
          <cell r="AN222">
            <v>0</v>
          </cell>
          <cell r="AO222">
            <v>0</v>
          </cell>
          <cell r="AP222">
            <v>0</v>
          </cell>
          <cell r="AQ222">
            <v>0</v>
          </cell>
          <cell r="AR222">
            <v>0</v>
          </cell>
          <cell r="AS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CW222">
            <v>0</v>
          </cell>
          <cell r="DF222" t="e">
            <v>#N/A</v>
          </cell>
        </row>
        <row r="223">
          <cell r="Q223">
            <v>0</v>
          </cell>
          <cell r="S223">
            <v>0</v>
          </cell>
          <cell r="U223">
            <v>0</v>
          </cell>
          <cell r="W223">
            <v>0</v>
          </cell>
          <cell r="Y223">
            <v>0</v>
          </cell>
          <cell r="AA223">
            <v>0</v>
          </cell>
          <cell r="AJ223">
            <v>0</v>
          </cell>
          <cell r="AK223">
            <v>0</v>
          </cell>
          <cell r="AL223">
            <v>0</v>
          </cell>
          <cell r="AM223">
            <v>0</v>
          </cell>
          <cell r="AN223">
            <v>0</v>
          </cell>
          <cell r="AO223">
            <v>0</v>
          </cell>
          <cell r="AP223">
            <v>0</v>
          </cell>
          <cell r="AQ223">
            <v>0</v>
          </cell>
          <cell r="AR223">
            <v>0</v>
          </cell>
          <cell r="AS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CW223">
            <v>0</v>
          </cell>
          <cell r="DF223" t="e">
            <v>#N/A</v>
          </cell>
        </row>
        <row r="224">
          <cell r="Q224">
            <v>0</v>
          </cell>
          <cell r="S224">
            <v>0</v>
          </cell>
          <cell r="U224">
            <v>0</v>
          </cell>
          <cell r="W224">
            <v>0</v>
          </cell>
          <cell r="Y224">
            <v>0</v>
          </cell>
          <cell r="AA224">
            <v>0</v>
          </cell>
          <cell r="AJ224">
            <v>0</v>
          </cell>
          <cell r="AK224">
            <v>0</v>
          </cell>
          <cell r="AL224">
            <v>0</v>
          </cell>
          <cell r="AM224">
            <v>0</v>
          </cell>
          <cell r="AN224">
            <v>0</v>
          </cell>
          <cell r="AO224">
            <v>0</v>
          </cell>
          <cell r="AP224">
            <v>0</v>
          </cell>
          <cell r="AQ224">
            <v>0</v>
          </cell>
          <cell r="AR224">
            <v>0</v>
          </cell>
          <cell r="AS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CW224">
            <v>0</v>
          </cell>
          <cell r="DF224" t="e">
            <v>#N/A</v>
          </cell>
        </row>
        <row r="225">
          <cell r="Q225">
            <v>0</v>
          </cell>
          <cell r="S225">
            <v>0</v>
          </cell>
          <cell r="U225">
            <v>0</v>
          </cell>
          <cell r="W225">
            <v>0</v>
          </cell>
          <cell r="Y225">
            <v>0</v>
          </cell>
          <cell r="AA225">
            <v>0</v>
          </cell>
          <cell r="AJ225">
            <v>0</v>
          </cell>
          <cell r="AK225">
            <v>0</v>
          </cell>
          <cell r="AL225">
            <v>0</v>
          </cell>
          <cell r="AM225">
            <v>0</v>
          </cell>
          <cell r="AN225">
            <v>0</v>
          </cell>
          <cell r="AO225">
            <v>0</v>
          </cell>
          <cell r="AP225">
            <v>0</v>
          </cell>
          <cell r="AQ225">
            <v>0</v>
          </cell>
          <cell r="AR225">
            <v>0</v>
          </cell>
          <cell r="AS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CW225">
            <v>0</v>
          </cell>
          <cell r="DF225" t="e">
            <v>#N/A</v>
          </cell>
        </row>
        <row r="226">
          <cell r="Q226">
            <v>0</v>
          </cell>
          <cell r="S226">
            <v>0</v>
          </cell>
          <cell r="U226">
            <v>0</v>
          </cell>
          <cell r="W226">
            <v>0</v>
          </cell>
          <cell r="Y226">
            <v>0</v>
          </cell>
          <cell r="AA226">
            <v>0</v>
          </cell>
          <cell r="AJ226">
            <v>0</v>
          </cell>
          <cell r="AK226">
            <v>0</v>
          </cell>
          <cell r="AL226">
            <v>0</v>
          </cell>
          <cell r="AM226">
            <v>0</v>
          </cell>
          <cell r="AN226">
            <v>0</v>
          </cell>
          <cell r="AO226">
            <v>0</v>
          </cell>
          <cell r="AP226">
            <v>0</v>
          </cell>
          <cell r="AQ226">
            <v>0</v>
          </cell>
          <cell r="AR226">
            <v>0</v>
          </cell>
          <cell r="AS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CW226">
            <v>0</v>
          </cell>
          <cell r="DF226" t="e">
            <v>#N/A</v>
          </cell>
        </row>
        <row r="227">
          <cell r="Q227">
            <v>0</v>
          </cell>
          <cell r="S227">
            <v>0</v>
          </cell>
          <cell r="U227">
            <v>0</v>
          </cell>
          <cell r="W227">
            <v>0</v>
          </cell>
          <cell r="Y227">
            <v>0</v>
          </cell>
          <cell r="AA227">
            <v>0</v>
          </cell>
          <cell r="AJ227">
            <v>0</v>
          </cell>
          <cell r="AK227">
            <v>0</v>
          </cell>
          <cell r="AL227">
            <v>0</v>
          </cell>
          <cell r="AM227">
            <v>0</v>
          </cell>
          <cell r="AN227">
            <v>0</v>
          </cell>
          <cell r="AO227">
            <v>0</v>
          </cell>
          <cell r="AP227">
            <v>0</v>
          </cell>
          <cell r="AQ227">
            <v>0</v>
          </cell>
          <cell r="AR227">
            <v>0</v>
          </cell>
          <cell r="AS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CW227">
            <v>0</v>
          </cell>
          <cell r="DF227" t="e">
            <v>#N/A</v>
          </cell>
        </row>
        <row r="228">
          <cell r="Q228">
            <v>0</v>
          </cell>
          <cell r="S228">
            <v>0</v>
          </cell>
          <cell r="U228">
            <v>0</v>
          </cell>
          <cell r="W228">
            <v>0</v>
          </cell>
          <cell r="Y228">
            <v>0</v>
          </cell>
          <cell r="AA228">
            <v>0</v>
          </cell>
          <cell r="AJ228">
            <v>0</v>
          </cell>
          <cell r="AK228">
            <v>0</v>
          </cell>
          <cell r="AL228">
            <v>0</v>
          </cell>
          <cell r="AM228">
            <v>0</v>
          </cell>
          <cell r="AN228">
            <v>0</v>
          </cell>
          <cell r="AO228">
            <v>0</v>
          </cell>
          <cell r="AP228">
            <v>0</v>
          </cell>
          <cell r="AQ228">
            <v>0</v>
          </cell>
          <cell r="AR228">
            <v>0</v>
          </cell>
          <cell r="AS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CW228">
            <v>0</v>
          </cell>
          <cell r="DF228" t="e">
            <v>#N/A</v>
          </cell>
        </row>
        <row r="229">
          <cell r="Q229">
            <v>0</v>
          </cell>
          <cell r="S229">
            <v>0</v>
          </cell>
          <cell r="U229">
            <v>0</v>
          </cell>
          <cell r="W229">
            <v>0</v>
          </cell>
          <cell r="Y229">
            <v>0</v>
          </cell>
          <cell r="AA229">
            <v>0</v>
          </cell>
          <cell r="AJ229">
            <v>0</v>
          </cell>
          <cell r="AK229">
            <v>0</v>
          </cell>
          <cell r="AL229">
            <v>0</v>
          </cell>
          <cell r="AM229">
            <v>0</v>
          </cell>
          <cell r="AN229">
            <v>0</v>
          </cell>
          <cell r="AO229">
            <v>0</v>
          </cell>
          <cell r="AP229">
            <v>0</v>
          </cell>
          <cell r="AQ229">
            <v>0</v>
          </cell>
          <cell r="AR229">
            <v>0</v>
          </cell>
          <cell r="AS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CW229">
            <v>0</v>
          </cell>
          <cell r="DF229" t="e">
            <v>#N/A</v>
          </cell>
        </row>
        <row r="230">
          <cell r="Q230">
            <v>0</v>
          </cell>
          <cell r="S230">
            <v>0</v>
          </cell>
          <cell r="U230">
            <v>0</v>
          </cell>
          <cell r="W230">
            <v>0</v>
          </cell>
          <cell r="Y230">
            <v>0</v>
          </cell>
          <cell r="AA230">
            <v>0</v>
          </cell>
          <cell r="AJ230">
            <v>0</v>
          </cell>
          <cell r="AK230">
            <v>0</v>
          </cell>
          <cell r="AL230">
            <v>0</v>
          </cell>
          <cell r="AM230">
            <v>0</v>
          </cell>
          <cell r="AN230">
            <v>0</v>
          </cell>
          <cell r="AO230">
            <v>0</v>
          </cell>
          <cell r="AP230">
            <v>0</v>
          </cell>
          <cell r="AQ230">
            <v>0</v>
          </cell>
          <cell r="AR230">
            <v>0</v>
          </cell>
          <cell r="AS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CW230">
            <v>0</v>
          </cell>
          <cell r="DF230" t="e">
            <v>#N/A</v>
          </cell>
        </row>
        <row r="231">
          <cell r="Q231">
            <v>0</v>
          </cell>
          <cell r="S231">
            <v>0</v>
          </cell>
          <cell r="U231">
            <v>0</v>
          </cell>
          <cell r="W231">
            <v>0</v>
          </cell>
          <cell r="Y231">
            <v>0</v>
          </cell>
          <cell r="AA231">
            <v>0</v>
          </cell>
          <cell r="AJ231">
            <v>0</v>
          </cell>
          <cell r="AK231">
            <v>0</v>
          </cell>
          <cell r="AL231">
            <v>0</v>
          </cell>
          <cell r="AM231">
            <v>0</v>
          </cell>
          <cell r="AN231">
            <v>0</v>
          </cell>
          <cell r="AO231">
            <v>0</v>
          </cell>
          <cell r="AP231">
            <v>0</v>
          </cell>
          <cell r="AQ231">
            <v>0</v>
          </cell>
          <cell r="AR231">
            <v>0</v>
          </cell>
          <cell r="AS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CW231">
            <v>0</v>
          </cell>
          <cell r="DF231" t="e">
            <v>#N/A</v>
          </cell>
        </row>
        <row r="232">
          <cell r="Q232">
            <v>0</v>
          </cell>
          <cell r="S232">
            <v>0</v>
          </cell>
          <cell r="U232">
            <v>0</v>
          </cell>
          <cell r="W232">
            <v>0</v>
          </cell>
          <cell r="Y232">
            <v>0</v>
          </cell>
          <cell r="AA232">
            <v>0</v>
          </cell>
          <cell r="AJ232">
            <v>0</v>
          </cell>
          <cell r="AK232">
            <v>0</v>
          </cell>
          <cell r="AL232">
            <v>0</v>
          </cell>
          <cell r="AM232">
            <v>0</v>
          </cell>
          <cell r="AN232">
            <v>0</v>
          </cell>
          <cell r="AO232">
            <v>0</v>
          </cell>
          <cell r="AP232">
            <v>0</v>
          </cell>
          <cell r="AQ232">
            <v>0</v>
          </cell>
          <cell r="AR232">
            <v>0</v>
          </cell>
          <cell r="AS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CW232">
            <v>0</v>
          </cell>
          <cell r="DF232" t="e">
            <v>#N/A</v>
          </cell>
        </row>
        <row r="233">
          <cell r="Q233">
            <v>0</v>
          </cell>
          <cell r="S233">
            <v>0</v>
          </cell>
          <cell r="U233">
            <v>0</v>
          </cell>
          <cell r="W233">
            <v>0</v>
          </cell>
          <cell r="Y233">
            <v>0</v>
          </cell>
          <cell r="AA233">
            <v>0</v>
          </cell>
          <cell r="AJ233">
            <v>0</v>
          </cell>
          <cell r="AK233">
            <v>0</v>
          </cell>
          <cell r="AL233">
            <v>0</v>
          </cell>
          <cell r="AM233">
            <v>0</v>
          </cell>
          <cell r="AN233">
            <v>0</v>
          </cell>
          <cell r="AO233">
            <v>0</v>
          </cell>
          <cell r="AP233">
            <v>0</v>
          </cell>
          <cell r="AQ233">
            <v>0</v>
          </cell>
          <cell r="AR233">
            <v>0</v>
          </cell>
          <cell r="AS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CW233">
            <v>0</v>
          </cell>
          <cell r="DF233" t="e">
            <v>#N/A</v>
          </cell>
        </row>
        <row r="234">
          <cell r="Q234">
            <v>0</v>
          </cell>
          <cell r="S234">
            <v>0</v>
          </cell>
          <cell r="U234">
            <v>0</v>
          </cell>
          <cell r="W234">
            <v>0</v>
          </cell>
          <cell r="Y234">
            <v>0</v>
          </cell>
          <cell r="AA234">
            <v>0</v>
          </cell>
          <cell r="AJ234">
            <v>0</v>
          </cell>
          <cell r="AK234">
            <v>0</v>
          </cell>
          <cell r="AL234">
            <v>0</v>
          </cell>
          <cell r="AM234">
            <v>0</v>
          </cell>
          <cell r="AN234">
            <v>0</v>
          </cell>
          <cell r="AO234">
            <v>0</v>
          </cell>
          <cell r="AP234">
            <v>0</v>
          </cell>
          <cell r="AQ234">
            <v>0</v>
          </cell>
          <cell r="AR234">
            <v>0</v>
          </cell>
          <cell r="AS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CW234">
            <v>0</v>
          </cell>
          <cell r="DF234" t="e">
            <v>#N/A</v>
          </cell>
        </row>
        <row r="235">
          <cell r="Q235">
            <v>0</v>
          </cell>
          <cell r="S235">
            <v>0</v>
          </cell>
          <cell r="U235">
            <v>0</v>
          </cell>
          <cell r="W235">
            <v>0</v>
          </cell>
          <cell r="Y235">
            <v>0</v>
          </cell>
          <cell r="AA235">
            <v>0</v>
          </cell>
          <cell r="AJ235">
            <v>0</v>
          </cell>
          <cell r="AK235">
            <v>0</v>
          </cell>
          <cell r="AL235">
            <v>0</v>
          </cell>
          <cell r="AM235">
            <v>0</v>
          </cell>
          <cell r="AN235">
            <v>0</v>
          </cell>
          <cell r="AO235">
            <v>0</v>
          </cell>
          <cell r="AP235">
            <v>0</v>
          </cell>
          <cell r="AQ235">
            <v>0</v>
          </cell>
          <cell r="AR235">
            <v>0</v>
          </cell>
          <cell r="AS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CW235">
            <v>0</v>
          </cell>
          <cell r="DF235" t="e">
            <v>#N/A</v>
          </cell>
        </row>
        <row r="236">
          <cell r="Q236">
            <v>0</v>
          </cell>
          <cell r="S236">
            <v>0</v>
          </cell>
          <cell r="U236">
            <v>0</v>
          </cell>
          <cell r="W236">
            <v>0</v>
          </cell>
          <cell r="Y236">
            <v>0</v>
          </cell>
          <cell r="AA236">
            <v>0</v>
          </cell>
          <cell r="AJ236">
            <v>0</v>
          </cell>
          <cell r="AK236">
            <v>0</v>
          </cell>
          <cell r="AL236">
            <v>0</v>
          </cell>
          <cell r="AM236">
            <v>0</v>
          </cell>
          <cell r="AN236">
            <v>0</v>
          </cell>
          <cell r="AO236">
            <v>0</v>
          </cell>
          <cell r="AP236">
            <v>0</v>
          </cell>
          <cell r="AQ236">
            <v>0</v>
          </cell>
          <cell r="AR236">
            <v>0</v>
          </cell>
          <cell r="AS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CW236">
            <v>0</v>
          </cell>
          <cell r="DF236" t="e">
            <v>#N/A</v>
          </cell>
        </row>
        <row r="237">
          <cell r="Q237">
            <v>0</v>
          </cell>
          <cell r="S237">
            <v>0</v>
          </cell>
          <cell r="U237">
            <v>0</v>
          </cell>
          <cell r="W237">
            <v>0</v>
          </cell>
          <cell r="Y237">
            <v>0</v>
          </cell>
          <cell r="AA237">
            <v>0</v>
          </cell>
          <cell r="AJ237">
            <v>0</v>
          </cell>
          <cell r="AK237">
            <v>0</v>
          </cell>
          <cell r="AL237">
            <v>0</v>
          </cell>
          <cell r="AM237">
            <v>0</v>
          </cell>
          <cell r="AN237">
            <v>0</v>
          </cell>
          <cell r="AO237">
            <v>0</v>
          </cell>
          <cell r="AP237">
            <v>0</v>
          </cell>
          <cell r="AQ237">
            <v>0</v>
          </cell>
          <cell r="AR237">
            <v>0</v>
          </cell>
          <cell r="AS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CW237">
            <v>0</v>
          </cell>
          <cell r="DF237" t="e">
            <v>#N/A</v>
          </cell>
        </row>
        <row r="238">
          <cell r="Q238">
            <v>0</v>
          </cell>
          <cell r="S238">
            <v>0</v>
          </cell>
          <cell r="U238">
            <v>0</v>
          </cell>
          <cell r="W238">
            <v>0</v>
          </cell>
          <cell r="Y238">
            <v>0</v>
          </cell>
          <cell r="AA238">
            <v>0</v>
          </cell>
          <cell r="AJ238">
            <v>0</v>
          </cell>
          <cell r="AK238">
            <v>0</v>
          </cell>
          <cell r="AL238">
            <v>0</v>
          </cell>
          <cell r="AM238">
            <v>0</v>
          </cell>
          <cell r="AN238">
            <v>0</v>
          </cell>
          <cell r="AO238">
            <v>0</v>
          </cell>
          <cell r="AP238">
            <v>0</v>
          </cell>
          <cell r="AQ238">
            <v>0</v>
          </cell>
          <cell r="AR238">
            <v>0</v>
          </cell>
          <cell r="AS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CW238">
            <v>0</v>
          </cell>
          <cell r="DF238" t="e">
            <v>#N/A</v>
          </cell>
        </row>
        <row r="239">
          <cell r="Q239">
            <v>0</v>
          </cell>
          <cell r="S239">
            <v>0</v>
          </cell>
          <cell r="U239">
            <v>0</v>
          </cell>
          <cell r="W239">
            <v>0</v>
          </cell>
          <cell r="Y239">
            <v>0</v>
          </cell>
          <cell r="AA239">
            <v>0</v>
          </cell>
          <cell r="AJ239">
            <v>0</v>
          </cell>
          <cell r="AK239">
            <v>0</v>
          </cell>
          <cell r="AL239">
            <v>0</v>
          </cell>
          <cell r="AM239">
            <v>0</v>
          </cell>
          <cell r="AN239">
            <v>0</v>
          </cell>
          <cell r="AO239">
            <v>0</v>
          </cell>
          <cell r="AP239">
            <v>0</v>
          </cell>
          <cell r="AQ239">
            <v>0</v>
          </cell>
          <cell r="AR239">
            <v>0</v>
          </cell>
          <cell r="AS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CW239">
            <v>0</v>
          </cell>
          <cell r="DF239" t="e">
            <v>#N/A</v>
          </cell>
        </row>
        <row r="240">
          <cell r="Q240">
            <v>0</v>
          </cell>
          <cell r="S240">
            <v>0</v>
          </cell>
          <cell r="U240">
            <v>0</v>
          </cell>
          <cell r="W240">
            <v>0</v>
          </cell>
          <cell r="Y240">
            <v>0</v>
          </cell>
          <cell r="AA240">
            <v>0</v>
          </cell>
          <cell r="AJ240">
            <v>0</v>
          </cell>
          <cell r="AK240">
            <v>0</v>
          </cell>
          <cell r="AL240">
            <v>0</v>
          </cell>
          <cell r="AM240">
            <v>0</v>
          </cell>
          <cell r="AN240">
            <v>0</v>
          </cell>
          <cell r="AO240">
            <v>0</v>
          </cell>
          <cell r="AP240">
            <v>0</v>
          </cell>
          <cell r="AQ240">
            <v>0</v>
          </cell>
          <cell r="AR240">
            <v>0</v>
          </cell>
          <cell r="AS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CW240">
            <v>0</v>
          </cell>
          <cell r="DF240" t="e">
            <v>#N/A</v>
          </cell>
        </row>
        <row r="241">
          <cell r="Q241">
            <v>0</v>
          </cell>
          <cell r="S241">
            <v>0</v>
          </cell>
          <cell r="U241">
            <v>0</v>
          </cell>
          <cell r="W241">
            <v>0</v>
          </cell>
          <cell r="Y241">
            <v>0</v>
          </cell>
          <cell r="AA241">
            <v>0</v>
          </cell>
          <cell r="AJ241">
            <v>0</v>
          </cell>
          <cell r="AK241">
            <v>0</v>
          </cell>
          <cell r="AL241">
            <v>0</v>
          </cell>
          <cell r="AM241">
            <v>0</v>
          </cell>
          <cell r="AN241">
            <v>0</v>
          </cell>
          <cell r="AO241">
            <v>0</v>
          </cell>
          <cell r="AP241">
            <v>0</v>
          </cell>
          <cell r="AQ241">
            <v>0</v>
          </cell>
          <cell r="AR241">
            <v>0</v>
          </cell>
          <cell r="AS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CW241">
            <v>0</v>
          </cell>
          <cell r="DF241" t="e">
            <v>#N/A</v>
          </cell>
        </row>
        <row r="242">
          <cell r="Q242">
            <v>0</v>
          </cell>
          <cell r="S242">
            <v>0</v>
          </cell>
          <cell r="U242">
            <v>0</v>
          </cell>
          <cell r="W242">
            <v>0</v>
          </cell>
          <cell r="Y242">
            <v>0</v>
          </cell>
          <cell r="AA242">
            <v>0</v>
          </cell>
          <cell r="AJ242">
            <v>0</v>
          </cell>
          <cell r="AK242">
            <v>0</v>
          </cell>
          <cell r="AL242">
            <v>0</v>
          </cell>
          <cell r="AM242">
            <v>0</v>
          </cell>
          <cell r="AN242">
            <v>0</v>
          </cell>
          <cell r="AO242">
            <v>0</v>
          </cell>
          <cell r="AP242">
            <v>0</v>
          </cell>
          <cell r="AQ242">
            <v>0</v>
          </cell>
          <cell r="AR242">
            <v>0</v>
          </cell>
          <cell r="AS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CW242">
            <v>0</v>
          </cell>
          <cell r="DF242" t="e">
            <v>#N/A</v>
          </cell>
        </row>
        <row r="243">
          <cell r="Q243">
            <v>0</v>
          </cell>
          <cell r="S243">
            <v>0</v>
          </cell>
          <cell r="U243">
            <v>0</v>
          </cell>
          <cell r="W243">
            <v>0</v>
          </cell>
          <cell r="Y243">
            <v>0</v>
          </cell>
          <cell r="AA243">
            <v>0</v>
          </cell>
          <cell r="AJ243">
            <v>0</v>
          </cell>
          <cell r="AK243">
            <v>0</v>
          </cell>
          <cell r="AL243">
            <v>0</v>
          </cell>
          <cell r="AM243">
            <v>0</v>
          </cell>
          <cell r="AN243">
            <v>0</v>
          </cell>
          <cell r="AO243">
            <v>0</v>
          </cell>
          <cell r="AP243">
            <v>0</v>
          </cell>
          <cell r="AQ243">
            <v>0</v>
          </cell>
          <cell r="AR243">
            <v>0</v>
          </cell>
          <cell r="AS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CW243">
            <v>0</v>
          </cell>
          <cell r="DF243" t="e">
            <v>#N/A</v>
          </cell>
        </row>
        <row r="244">
          <cell r="Q244">
            <v>0</v>
          </cell>
          <cell r="S244">
            <v>0</v>
          </cell>
          <cell r="U244">
            <v>0</v>
          </cell>
          <cell r="W244">
            <v>0</v>
          </cell>
          <cell r="Y244">
            <v>0</v>
          </cell>
          <cell r="AA244">
            <v>0</v>
          </cell>
          <cell r="AJ244">
            <v>0</v>
          </cell>
          <cell r="AK244">
            <v>0</v>
          </cell>
          <cell r="AL244">
            <v>0</v>
          </cell>
          <cell r="AM244">
            <v>0</v>
          </cell>
          <cell r="AN244">
            <v>0</v>
          </cell>
          <cell r="AO244">
            <v>0</v>
          </cell>
          <cell r="AP244">
            <v>0</v>
          </cell>
          <cell r="AQ244">
            <v>0</v>
          </cell>
          <cell r="AR244">
            <v>0</v>
          </cell>
          <cell r="AS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CW244">
            <v>0</v>
          </cell>
          <cell r="DF244" t="e">
            <v>#N/A</v>
          </cell>
        </row>
        <row r="245">
          <cell r="Q245">
            <v>0</v>
          </cell>
          <cell r="S245">
            <v>0</v>
          </cell>
          <cell r="U245">
            <v>0</v>
          </cell>
          <cell r="W245">
            <v>0</v>
          </cell>
          <cell r="Y245">
            <v>0</v>
          </cell>
          <cell r="AA245">
            <v>0</v>
          </cell>
          <cell r="AJ245">
            <v>0</v>
          </cell>
          <cell r="AK245">
            <v>0</v>
          </cell>
          <cell r="AL245">
            <v>0</v>
          </cell>
          <cell r="AM245">
            <v>0</v>
          </cell>
          <cell r="AN245">
            <v>0</v>
          </cell>
          <cell r="AO245">
            <v>0</v>
          </cell>
          <cell r="AP245">
            <v>0</v>
          </cell>
          <cell r="AQ245">
            <v>0</v>
          </cell>
          <cell r="AR245">
            <v>0</v>
          </cell>
          <cell r="AS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CW245">
            <v>0</v>
          </cell>
          <cell r="DF245" t="e">
            <v>#N/A</v>
          </cell>
        </row>
        <row r="246">
          <cell r="Q246">
            <v>0</v>
          </cell>
          <cell r="S246">
            <v>0</v>
          </cell>
          <cell r="U246">
            <v>0</v>
          </cell>
          <cell r="W246">
            <v>0</v>
          </cell>
          <cell r="Y246">
            <v>0</v>
          </cell>
          <cell r="AA246">
            <v>0</v>
          </cell>
          <cell r="AJ246">
            <v>0</v>
          </cell>
          <cell r="AK246">
            <v>0</v>
          </cell>
          <cell r="AL246">
            <v>0</v>
          </cell>
          <cell r="AM246">
            <v>0</v>
          </cell>
          <cell r="AN246">
            <v>0</v>
          </cell>
          <cell r="AO246">
            <v>0</v>
          </cell>
          <cell r="AP246">
            <v>0</v>
          </cell>
          <cell r="AQ246">
            <v>0</v>
          </cell>
          <cell r="AR246">
            <v>0</v>
          </cell>
          <cell r="AS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CW246">
            <v>0</v>
          </cell>
          <cell r="DF246" t="e">
            <v>#N/A</v>
          </cell>
        </row>
        <row r="247">
          <cell r="Q247">
            <v>0</v>
          </cell>
          <cell r="S247">
            <v>0</v>
          </cell>
          <cell r="U247">
            <v>0</v>
          </cell>
          <cell r="W247">
            <v>0</v>
          </cell>
          <cell r="Y247">
            <v>0</v>
          </cell>
          <cell r="AA247">
            <v>0</v>
          </cell>
          <cell r="AJ247">
            <v>0</v>
          </cell>
          <cell r="AK247">
            <v>0</v>
          </cell>
          <cell r="AL247">
            <v>0</v>
          </cell>
          <cell r="AM247">
            <v>0</v>
          </cell>
          <cell r="AN247">
            <v>0</v>
          </cell>
          <cell r="AO247">
            <v>0</v>
          </cell>
          <cell r="AP247">
            <v>0</v>
          </cell>
          <cell r="AQ247">
            <v>0</v>
          </cell>
          <cell r="AR247">
            <v>0</v>
          </cell>
          <cell r="AS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CW247">
            <v>0</v>
          </cell>
          <cell r="DF247" t="e">
            <v>#N/A</v>
          </cell>
        </row>
        <row r="248">
          <cell r="Q248">
            <v>0</v>
          </cell>
          <cell r="S248">
            <v>0</v>
          </cell>
          <cell r="U248">
            <v>0</v>
          </cell>
          <cell r="W248">
            <v>0</v>
          </cell>
          <cell r="Y248">
            <v>0</v>
          </cell>
          <cell r="AA248">
            <v>0</v>
          </cell>
          <cell r="AJ248">
            <v>0</v>
          </cell>
          <cell r="AK248">
            <v>0</v>
          </cell>
          <cell r="AL248">
            <v>0</v>
          </cell>
          <cell r="AM248">
            <v>0</v>
          </cell>
          <cell r="AN248">
            <v>0</v>
          </cell>
          <cell r="AO248">
            <v>0</v>
          </cell>
          <cell r="AP248">
            <v>0</v>
          </cell>
          <cell r="AQ248">
            <v>0</v>
          </cell>
          <cell r="AR248">
            <v>0</v>
          </cell>
          <cell r="AS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CW248">
            <v>0</v>
          </cell>
          <cell r="DF248" t="e">
            <v>#N/A</v>
          </cell>
        </row>
        <row r="249">
          <cell r="Q249">
            <v>0</v>
          </cell>
          <cell r="S249">
            <v>0</v>
          </cell>
          <cell r="U249">
            <v>0</v>
          </cell>
          <cell r="W249">
            <v>0</v>
          </cell>
          <cell r="Y249">
            <v>0</v>
          </cell>
          <cell r="AA249">
            <v>0</v>
          </cell>
          <cell r="AJ249">
            <v>0</v>
          </cell>
          <cell r="AK249">
            <v>0</v>
          </cell>
          <cell r="AL249">
            <v>0</v>
          </cell>
          <cell r="AM249">
            <v>0</v>
          </cell>
          <cell r="AN249">
            <v>0</v>
          </cell>
          <cell r="AO249">
            <v>0</v>
          </cell>
          <cell r="AP249">
            <v>0</v>
          </cell>
          <cell r="AQ249">
            <v>0</v>
          </cell>
          <cell r="AR249">
            <v>0</v>
          </cell>
          <cell r="AS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CW249">
            <v>0</v>
          </cell>
          <cell r="DF249" t="e">
            <v>#N/A</v>
          </cell>
        </row>
        <row r="250">
          <cell r="Q250">
            <v>0</v>
          </cell>
          <cell r="S250">
            <v>0</v>
          </cell>
          <cell r="U250">
            <v>0</v>
          </cell>
          <cell r="W250">
            <v>0</v>
          </cell>
          <cell r="Y250">
            <v>0</v>
          </cell>
          <cell r="AA250">
            <v>0</v>
          </cell>
          <cell r="AJ250">
            <v>0</v>
          </cell>
          <cell r="AK250">
            <v>0</v>
          </cell>
          <cell r="AL250">
            <v>0</v>
          </cell>
          <cell r="AM250">
            <v>0</v>
          </cell>
          <cell r="AN250">
            <v>0</v>
          </cell>
          <cell r="AO250">
            <v>0</v>
          </cell>
          <cell r="AP250">
            <v>0</v>
          </cell>
          <cell r="AQ250">
            <v>0</v>
          </cell>
          <cell r="AR250">
            <v>0</v>
          </cell>
          <cell r="AS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CW250">
            <v>0</v>
          </cell>
          <cell r="DF250" t="e">
            <v>#N/A</v>
          </cell>
        </row>
        <row r="251">
          <cell r="Q251">
            <v>0</v>
          </cell>
          <cell r="S251">
            <v>0</v>
          </cell>
          <cell r="U251">
            <v>0</v>
          </cell>
          <cell r="W251">
            <v>0</v>
          </cell>
          <cell r="Y251">
            <v>0</v>
          </cell>
          <cell r="AA251">
            <v>0</v>
          </cell>
          <cell r="AJ251">
            <v>0</v>
          </cell>
          <cell r="AK251">
            <v>0</v>
          </cell>
          <cell r="AL251">
            <v>0</v>
          </cell>
          <cell r="AM251">
            <v>0</v>
          </cell>
          <cell r="AN251">
            <v>0</v>
          </cell>
          <cell r="AO251">
            <v>0</v>
          </cell>
          <cell r="AP251">
            <v>0</v>
          </cell>
          <cell r="AQ251">
            <v>0</v>
          </cell>
          <cell r="AR251">
            <v>0</v>
          </cell>
          <cell r="AS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CW251">
            <v>0</v>
          </cell>
          <cell r="DF251" t="e">
            <v>#N/A</v>
          </cell>
        </row>
        <row r="252">
          <cell r="Q252">
            <v>0</v>
          </cell>
          <cell r="S252">
            <v>0</v>
          </cell>
          <cell r="U252">
            <v>0</v>
          </cell>
          <cell r="W252">
            <v>0</v>
          </cell>
          <cell r="Y252">
            <v>0</v>
          </cell>
          <cell r="AA252">
            <v>0</v>
          </cell>
          <cell r="AJ252">
            <v>0</v>
          </cell>
          <cell r="AK252">
            <v>0</v>
          </cell>
          <cell r="AL252">
            <v>0</v>
          </cell>
          <cell r="AM252">
            <v>0</v>
          </cell>
          <cell r="AN252">
            <v>0</v>
          </cell>
          <cell r="AO252">
            <v>0</v>
          </cell>
          <cell r="AP252">
            <v>0</v>
          </cell>
          <cell r="AQ252">
            <v>0</v>
          </cell>
          <cell r="AR252">
            <v>0</v>
          </cell>
          <cell r="AS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CW252">
            <v>0</v>
          </cell>
          <cell r="DF252" t="e">
            <v>#N/A</v>
          </cell>
        </row>
        <row r="253">
          <cell r="Q253">
            <v>0</v>
          </cell>
          <cell r="S253">
            <v>0</v>
          </cell>
          <cell r="U253">
            <v>0</v>
          </cell>
          <cell r="W253">
            <v>0</v>
          </cell>
          <cell r="Y253">
            <v>0</v>
          </cell>
          <cell r="AA253">
            <v>0</v>
          </cell>
          <cell r="AJ253">
            <v>0</v>
          </cell>
          <cell r="AK253">
            <v>0</v>
          </cell>
          <cell r="AL253">
            <v>0</v>
          </cell>
          <cell r="AM253">
            <v>0</v>
          </cell>
          <cell r="AN253">
            <v>0</v>
          </cell>
          <cell r="AO253">
            <v>0</v>
          </cell>
          <cell r="AP253">
            <v>0</v>
          </cell>
          <cell r="AQ253">
            <v>0</v>
          </cell>
          <cell r="AR253">
            <v>0</v>
          </cell>
          <cell r="AS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CW253">
            <v>0</v>
          </cell>
          <cell r="DF253" t="e">
            <v>#N/A</v>
          </cell>
        </row>
        <row r="254">
          <cell r="Q254">
            <v>0</v>
          </cell>
          <cell r="S254">
            <v>0</v>
          </cell>
          <cell r="U254">
            <v>0</v>
          </cell>
          <cell r="W254">
            <v>0</v>
          </cell>
          <cell r="Y254">
            <v>0</v>
          </cell>
          <cell r="AA254">
            <v>0</v>
          </cell>
          <cell r="AJ254">
            <v>0</v>
          </cell>
          <cell r="AK254">
            <v>0</v>
          </cell>
          <cell r="AL254">
            <v>0</v>
          </cell>
          <cell r="AM254">
            <v>0</v>
          </cell>
          <cell r="AN254">
            <v>0</v>
          </cell>
          <cell r="AO254">
            <v>0</v>
          </cell>
          <cell r="AP254">
            <v>0</v>
          </cell>
          <cell r="AQ254">
            <v>0</v>
          </cell>
          <cell r="AR254">
            <v>0</v>
          </cell>
          <cell r="AS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CW254">
            <v>0</v>
          </cell>
          <cell r="DF254" t="e">
            <v>#N/A</v>
          </cell>
        </row>
        <row r="255">
          <cell r="Q255">
            <v>0</v>
          </cell>
          <cell r="S255">
            <v>0</v>
          </cell>
          <cell r="U255">
            <v>0</v>
          </cell>
          <cell r="W255">
            <v>0</v>
          </cell>
          <cell r="Y255">
            <v>0</v>
          </cell>
          <cell r="AA255">
            <v>0</v>
          </cell>
          <cell r="AJ255">
            <v>0</v>
          </cell>
          <cell r="AK255">
            <v>0</v>
          </cell>
          <cell r="AL255">
            <v>0</v>
          </cell>
          <cell r="AM255">
            <v>0</v>
          </cell>
          <cell r="AN255">
            <v>0</v>
          </cell>
          <cell r="AO255">
            <v>0</v>
          </cell>
          <cell r="AP255">
            <v>0</v>
          </cell>
          <cell r="AQ255">
            <v>0</v>
          </cell>
          <cell r="AR255">
            <v>0</v>
          </cell>
          <cell r="AS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CW255">
            <v>0</v>
          </cell>
          <cell r="DF255" t="e">
            <v>#N/A</v>
          </cell>
        </row>
        <row r="256">
          <cell r="Q256">
            <v>0</v>
          </cell>
          <cell r="S256">
            <v>0</v>
          </cell>
          <cell r="U256">
            <v>0</v>
          </cell>
          <cell r="W256">
            <v>0</v>
          </cell>
          <cell r="Y256">
            <v>0</v>
          </cell>
          <cell r="AA256">
            <v>0</v>
          </cell>
          <cell r="AJ256">
            <v>0</v>
          </cell>
          <cell r="AK256">
            <v>0</v>
          </cell>
          <cell r="AL256">
            <v>0</v>
          </cell>
          <cell r="AM256">
            <v>0</v>
          </cell>
          <cell r="AN256">
            <v>0</v>
          </cell>
          <cell r="AO256">
            <v>0</v>
          </cell>
          <cell r="AP256">
            <v>0</v>
          </cell>
          <cell r="AQ256">
            <v>0</v>
          </cell>
          <cell r="AR256">
            <v>0</v>
          </cell>
          <cell r="AS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CW256">
            <v>0</v>
          </cell>
          <cell r="DF256" t="e">
            <v>#N/A</v>
          </cell>
        </row>
        <row r="257">
          <cell r="Q257">
            <v>0</v>
          </cell>
          <cell r="S257">
            <v>0</v>
          </cell>
          <cell r="U257">
            <v>0</v>
          </cell>
          <cell r="W257">
            <v>0</v>
          </cell>
          <cell r="Y257">
            <v>0</v>
          </cell>
          <cell r="AA257">
            <v>0</v>
          </cell>
          <cell r="AJ257">
            <v>0</v>
          </cell>
          <cell r="AK257">
            <v>0</v>
          </cell>
          <cell r="AL257">
            <v>0</v>
          </cell>
          <cell r="AM257">
            <v>0</v>
          </cell>
          <cell r="AN257">
            <v>0</v>
          </cell>
          <cell r="AO257">
            <v>0</v>
          </cell>
          <cell r="AP257">
            <v>0</v>
          </cell>
          <cell r="AQ257">
            <v>0</v>
          </cell>
          <cell r="AR257">
            <v>0</v>
          </cell>
          <cell r="AS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CW257">
            <v>0</v>
          </cell>
          <cell r="DF257" t="e">
            <v>#N/A</v>
          </cell>
        </row>
        <row r="258">
          <cell r="Q258">
            <v>0</v>
          </cell>
          <cell r="S258">
            <v>0</v>
          </cell>
          <cell r="U258">
            <v>0</v>
          </cell>
          <cell r="W258">
            <v>0</v>
          </cell>
          <cell r="Y258">
            <v>0</v>
          </cell>
          <cell r="AA258">
            <v>0</v>
          </cell>
          <cell r="AJ258">
            <v>0</v>
          </cell>
          <cell r="AK258">
            <v>0</v>
          </cell>
          <cell r="AL258">
            <v>0</v>
          </cell>
          <cell r="AM258">
            <v>0</v>
          </cell>
          <cell r="AN258">
            <v>0</v>
          </cell>
          <cell r="AO258">
            <v>0</v>
          </cell>
          <cell r="AP258">
            <v>0</v>
          </cell>
          <cell r="AQ258">
            <v>0</v>
          </cell>
          <cell r="AR258">
            <v>0</v>
          </cell>
          <cell r="AS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CW258">
            <v>0</v>
          </cell>
          <cell r="DF258" t="e">
            <v>#N/A</v>
          </cell>
        </row>
        <row r="259">
          <cell r="Q259">
            <v>0</v>
          </cell>
          <cell r="S259">
            <v>0</v>
          </cell>
          <cell r="U259">
            <v>0</v>
          </cell>
          <cell r="W259">
            <v>0</v>
          </cell>
          <cell r="Y259">
            <v>0</v>
          </cell>
          <cell r="AA259">
            <v>0</v>
          </cell>
          <cell r="AJ259">
            <v>0</v>
          </cell>
          <cell r="AK259">
            <v>0</v>
          </cell>
          <cell r="AL259">
            <v>0</v>
          </cell>
          <cell r="AM259">
            <v>0</v>
          </cell>
          <cell r="AN259">
            <v>0</v>
          </cell>
          <cell r="AO259">
            <v>0</v>
          </cell>
          <cell r="AP259">
            <v>0</v>
          </cell>
          <cell r="AQ259">
            <v>0</v>
          </cell>
          <cell r="AR259">
            <v>0</v>
          </cell>
          <cell r="AS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CW259">
            <v>0</v>
          </cell>
          <cell r="DF259" t="e">
            <v>#N/A</v>
          </cell>
        </row>
        <row r="260">
          <cell r="Q260">
            <v>0</v>
          </cell>
          <cell r="S260">
            <v>0</v>
          </cell>
          <cell r="U260">
            <v>0</v>
          </cell>
          <cell r="W260">
            <v>0</v>
          </cell>
          <cell r="Y260">
            <v>0</v>
          </cell>
          <cell r="AA260">
            <v>0</v>
          </cell>
          <cell r="AJ260">
            <v>0</v>
          </cell>
          <cell r="AK260">
            <v>0</v>
          </cell>
          <cell r="AL260">
            <v>0</v>
          </cell>
          <cell r="AM260">
            <v>0</v>
          </cell>
          <cell r="AN260">
            <v>0</v>
          </cell>
          <cell r="AO260">
            <v>0</v>
          </cell>
          <cell r="AP260">
            <v>0</v>
          </cell>
          <cell r="AQ260">
            <v>0</v>
          </cell>
          <cell r="AR260">
            <v>0</v>
          </cell>
          <cell r="AS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CW260">
            <v>0</v>
          </cell>
          <cell r="DF260" t="e">
            <v>#N/A</v>
          </cell>
        </row>
        <row r="261">
          <cell r="Q261">
            <v>0</v>
          </cell>
          <cell r="S261">
            <v>0</v>
          </cell>
          <cell r="U261">
            <v>0</v>
          </cell>
          <cell r="W261">
            <v>0</v>
          </cell>
          <cell r="Y261">
            <v>0</v>
          </cell>
          <cell r="AA261">
            <v>0</v>
          </cell>
          <cell r="AJ261">
            <v>0</v>
          </cell>
          <cell r="AK261">
            <v>0</v>
          </cell>
          <cell r="AL261">
            <v>0</v>
          </cell>
          <cell r="AM261">
            <v>0</v>
          </cell>
          <cell r="AN261">
            <v>0</v>
          </cell>
          <cell r="AO261">
            <v>0</v>
          </cell>
          <cell r="AP261">
            <v>0</v>
          </cell>
          <cell r="AQ261">
            <v>0</v>
          </cell>
          <cell r="AR261">
            <v>0</v>
          </cell>
          <cell r="AS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CW261">
            <v>0</v>
          </cell>
          <cell r="DF261" t="e">
            <v>#N/A</v>
          </cell>
        </row>
        <row r="262">
          <cell r="Q262">
            <v>0</v>
          </cell>
          <cell r="S262">
            <v>0</v>
          </cell>
          <cell r="U262">
            <v>0</v>
          </cell>
          <cell r="W262">
            <v>0</v>
          </cell>
          <cell r="Y262">
            <v>0</v>
          </cell>
          <cell r="AA262">
            <v>0</v>
          </cell>
          <cell r="AJ262">
            <v>0</v>
          </cell>
          <cell r="AK262">
            <v>0</v>
          </cell>
          <cell r="AL262">
            <v>0</v>
          </cell>
          <cell r="AM262">
            <v>0</v>
          </cell>
          <cell r="AN262">
            <v>0</v>
          </cell>
          <cell r="AO262">
            <v>0</v>
          </cell>
          <cell r="AP262">
            <v>0</v>
          </cell>
          <cell r="AQ262">
            <v>0</v>
          </cell>
          <cell r="AR262">
            <v>0</v>
          </cell>
          <cell r="AS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CW262">
            <v>0</v>
          </cell>
          <cell r="DF262" t="e">
            <v>#N/A</v>
          </cell>
        </row>
        <row r="263">
          <cell r="Q263">
            <v>0</v>
          </cell>
          <cell r="S263">
            <v>0</v>
          </cell>
          <cell r="U263">
            <v>0</v>
          </cell>
          <cell r="W263">
            <v>0</v>
          </cell>
          <cell r="Y263">
            <v>0</v>
          </cell>
          <cell r="AA263">
            <v>0</v>
          </cell>
          <cell r="AJ263">
            <v>0</v>
          </cell>
          <cell r="AK263">
            <v>0</v>
          </cell>
          <cell r="AL263">
            <v>0</v>
          </cell>
          <cell r="AM263">
            <v>0</v>
          </cell>
          <cell r="AN263">
            <v>0</v>
          </cell>
          <cell r="AO263">
            <v>0</v>
          </cell>
          <cell r="AP263">
            <v>0</v>
          </cell>
          <cell r="AQ263">
            <v>0</v>
          </cell>
          <cell r="AR263">
            <v>0</v>
          </cell>
          <cell r="AS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CW263">
            <v>0</v>
          </cell>
          <cell r="DF263" t="e">
            <v>#N/A</v>
          </cell>
        </row>
        <row r="264">
          <cell r="Q264">
            <v>0</v>
          </cell>
          <cell r="S264">
            <v>0</v>
          </cell>
          <cell r="U264">
            <v>0</v>
          </cell>
          <cell r="W264">
            <v>0</v>
          </cell>
          <cell r="Y264">
            <v>0</v>
          </cell>
          <cell r="AA264">
            <v>0</v>
          </cell>
          <cell r="AJ264">
            <v>0</v>
          </cell>
          <cell r="AK264">
            <v>0</v>
          </cell>
          <cell r="AL264">
            <v>0</v>
          </cell>
          <cell r="AM264">
            <v>0</v>
          </cell>
          <cell r="AN264">
            <v>0</v>
          </cell>
          <cell r="AO264">
            <v>0</v>
          </cell>
          <cell r="AP264">
            <v>0</v>
          </cell>
          <cell r="AQ264">
            <v>0</v>
          </cell>
          <cell r="AR264">
            <v>0</v>
          </cell>
          <cell r="AS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CW264">
            <v>0</v>
          </cell>
          <cell r="DF264" t="e">
            <v>#N/A</v>
          </cell>
        </row>
        <row r="265">
          <cell r="Q265">
            <v>0</v>
          </cell>
          <cell r="S265">
            <v>0</v>
          </cell>
          <cell r="U265">
            <v>0</v>
          </cell>
          <cell r="W265">
            <v>0</v>
          </cell>
          <cell r="Y265">
            <v>0</v>
          </cell>
          <cell r="AA265">
            <v>0</v>
          </cell>
          <cell r="AJ265">
            <v>0</v>
          </cell>
          <cell r="AK265">
            <v>0</v>
          </cell>
          <cell r="AL265">
            <v>0</v>
          </cell>
          <cell r="AM265">
            <v>0</v>
          </cell>
          <cell r="AN265">
            <v>0</v>
          </cell>
          <cell r="AO265">
            <v>0</v>
          </cell>
          <cell r="AP265">
            <v>0</v>
          </cell>
          <cell r="AQ265">
            <v>0</v>
          </cell>
          <cell r="AR265">
            <v>0</v>
          </cell>
          <cell r="AS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CW265">
            <v>0</v>
          </cell>
          <cell r="DF265" t="e">
            <v>#N/A</v>
          </cell>
        </row>
        <row r="266">
          <cell r="Q266">
            <v>0</v>
          </cell>
          <cell r="S266">
            <v>0</v>
          </cell>
          <cell r="U266">
            <v>0</v>
          </cell>
          <cell r="W266">
            <v>0</v>
          </cell>
          <cell r="Y266">
            <v>0</v>
          </cell>
          <cell r="AA266">
            <v>0</v>
          </cell>
          <cell r="AJ266">
            <v>0</v>
          </cell>
          <cell r="AK266">
            <v>0</v>
          </cell>
          <cell r="AL266">
            <v>0</v>
          </cell>
          <cell r="AM266">
            <v>0</v>
          </cell>
          <cell r="AN266">
            <v>0</v>
          </cell>
          <cell r="AO266">
            <v>0</v>
          </cell>
          <cell r="AP266">
            <v>0</v>
          </cell>
          <cell r="AQ266">
            <v>0</v>
          </cell>
          <cell r="AR266">
            <v>0</v>
          </cell>
          <cell r="AS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CW266">
            <v>0</v>
          </cell>
          <cell r="DF266" t="e">
            <v>#N/A</v>
          </cell>
        </row>
        <row r="267">
          <cell r="Q267">
            <v>0</v>
          </cell>
          <cell r="S267">
            <v>0</v>
          </cell>
          <cell r="U267">
            <v>0</v>
          </cell>
          <cell r="W267">
            <v>0</v>
          </cell>
          <cell r="Y267">
            <v>0</v>
          </cell>
          <cell r="AA267">
            <v>0</v>
          </cell>
          <cell r="AJ267">
            <v>0</v>
          </cell>
          <cell r="AK267">
            <v>0</v>
          </cell>
          <cell r="AL267">
            <v>0</v>
          </cell>
          <cell r="AM267">
            <v>0</v>
          </cell>
          <cell r="AN267">
            <v>0</v>
          </cell>
          <cell r="AO267">
            <v>0</v>
          </cell>
          <cell r="AP267">
            <v>0</v>
          </cell>
          <cell r="AQ267">
            <v>0</v>
          </cell>
          <cell r="AR267">
            <v>0</v>
          </cell>
          <cell r="AS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CW267">
            <v>0</v>
          </cell>
          <cell r="DF267" t="e">
            <v>#N/A</v>
          </cell>
        </row>
        <row r="268">
          <cell r="Q268">
            <v>0</v>
          </cell>
          <cell r="S268">
            <v>0</v>
          </cell>
          <cell r="U268">
            <v>0</v>
          </cell>
          <cell r="W268">
            <v>0</v>
          </cell>
          <cell r="Y268">
            <v>0</v>
          </cell>
          <cell r="AA268">
            <v>0</v>
          </cell>
          <cell r="AJ268">
            <v>0</v>
          </cell>
          <cell r="AK268">
            <v>0</v>
          </cell>
          <cell r="AL268">
            <v>0</v>
          </cell>
          <cell r="AM268">
            <v>0</v>
          </cell>
          <cell r="AN268">
            <v>0</v>
          </cell>
          <cell r="AO268">
            <v>0</v>
          </cell>
          <cell r="AP268">
            <v>0</v>
          </cell>
          <cell r="AQ268">
            <v>0</v>
          </cell>
          <cell r="AR268">
            <v>0</v>
          </cell>
          <cell r="AS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CW268">
            <v>0</v>
          </cell>
          <cell r="DF268" t="e">
            <v>#N/A</v>
          </cell>
        </row>
        <row r="269">
          <cell r="Q269">
            <v>0</v>
          </cell>
          <cell r="S269">
            <v>0</v>
          </cell>
          <cell r="U269">
            <v>0</v>
          </cell>
          <cell r="W269">
            <v>0</v>
          </cell>
          <cell r="Y269">
            <v>0</v>
          </cell>
          <cell r="AA269">
            <v>0</v>
          </cell>
          <cell r="AJ269">
            <v>0</v>
          </cell>
          <cell r="AK269">
            <v>0</v>
          </cell>
          <cell r="AL269">
            <v>0</v>
          </cell>
          <cell r="AM269">
            <v>0</v>
          </cell>
          <cell r="AN269">
            <v>0</v>
          </cell>
          <cell r="AO269">
            <v>0</v>
          </cell>
          <cell r="AP269">
            <v>0</v>
          </cell>
          <cell r="AQ269">
            <v>0</v>
          </cell>
          <cell r="AR269">
            <v>0</v>
          </cell>
          <cell r="AS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CW269">
            <v>0</v>
          </cell>
          <cell r="DF269" t="e">
            <v>#N/A</v>
          </cell>
        </row>
        <row r="270">
          <cell r="Q270">
            <v>0</v>
          </cell>
          <cell r="S270">
            <v>0</v>
          </cell>
          <cell r="U270">
            <v>0</v>
          </cell>
          <cell r="W270">
            <v>0</v>
          </cell>
          <cell r="Y270">
            <v>0</v>
          </cell>
          <cell r="AA270">
            <v>0</v>
          </cell>
          <cell r="AJ270">
            <v>0</v>
          </cell>
          <cell r="AK270">
            <v>0</v>
          </cell>
          <cell r="AL270">
            <v>0</v>
          </cell>
          <cell r="AM270">
            <v>0</v>
          </cell>
          <cell r="AN270">
            <v>0</v>
          </cell>
          <cell r="AO270">
            <v>0</v>
          </cell>
          <cell r="AP270">
            <v>0</v>
          </cell>
          <cell r="AQ270">
            <v>0</v>
          </cell>
          <cell r="AR270">
            <v>0</v>
          </cell>
          <cell r="AS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CW270">
            <v>0</v>
          </cell>
          <cell r="DF270" t="e">
            <v>#N/A</v>
          </cell>
        </row>
        <row r="271">
          <cell r="Q271">
            <v>0</v>
          </cell>
          <cell r="S271">
            <v>0</v>
          </cell>
          <cell r="U271">
            <v>0</v>
          </cell>
          <cell r="W271">
            <v>0</v>
          </cell>
          <cell r="Y271">
            <v>0</v>
          </cell>
          <cell r="AA271">
            <v>0</v>
          </cell>
          <cell r="AJ271">
            <v>0</v>
          </cell>
          <cell r="AK271">
            <v>0</v>
          </cell>
          <cell r="AL271">
            <v>0</v>
          </cell>
          <cell r="AM271">
            <v>0</v>
          </cell>
          <cell r="AN271">
            <v>0</v>
          </cell>
          <cell r="AO271">
            <v>0</v>
          </cell>
          <cell r="AP271">
            <v>0</v>
          </cell>
          <cell r="AQ271">
            <v>0</v>
          </cell>
          <cell r="AR271">
            <v>0</v>
          </cell>
          <cell r="AS271">
            <v>0</v>
          </cell>
          <cell r="BD271">
            <v>0</v>
          </cell>
          <cell r="BE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CW271">
            <v>0</v>
          </cell>
          <cell r="DF271" t="e">
            <v>#N/A</v>
          </cell>
        </row>
        <row r="272">
          <cell r="Q272">
            <v>0</v>
          </cell>
          <cell r="S272">
            <v>0</v>
          </cell>
          <cell r="U272">
            <v>0</v>
          </cell>
          <cell r="W272">
            <v>0</v>
          </cell>
          <cell r="Y272">
            <v>0</v>
          </cell>
          <cell r="AA272">
            <v>0</v>
          </cell>
          <cell r="AJ272">
            <v>0</v>
          </cell>
          <cell r="AK272">
            <v>0</v>
          </cell>
          <cell r="AL272">
            <v>0</v>
          </cell>
          <cell r="AM272">
            <v>0</v>
          </cell>
          <cell r="AN272">
            <v>0</v>
          </cell>
          <cell r="AO272">
            <v>0</v>
          </cell>
          <cell r="AP272">
            <v>0</v>
          </cell>
          <cell r="AQ272">
            <v>0</v>
          </cell>
          <cell r="AR272">
            <v>0</v>
          </cell>
          <cell r="AS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CW272">
            <v>0</v>
          </cell>
          <cell r="DF272" t="e">
            <v>#N/A</v>
          </cell>
        </row>
        <row r="273">
          <cell r="Q273">
            <v>0</v>
          </cell>
          <cell r="S273">
            <v>0</v>
          </cell>
          <cell r="U273">
            <v>0</v>
          </cell>
          <cell r="W273">
            <v>0</v>
          </cell>
          <cell r="Y273">
            <v>0</v>
          </cell>
          <cell r="AA273">
            <v>0</v>
          </cell>
          <cell r="AJ273">
            <v>0</v>
          </cell>
          <cell r="AK273">
            <v>0</v>
          </cell>
          <cell r="AL273">
            <v>0</v>
          </cell>
          <cell r="AM273">
            <v>0</v>
          </cell>
          <cell r="AN273">
            <v>0</v>
          </cell>
          <cell r="AO273">
            <v>0</v>
          </cell>
          <cell r="AP273">
            <v>0</v>
          </cell>
          <cell r="AQ273">
            <v>0</v>
          </cell>
          <cell r="AR273">
            <v>0</v>
          </cell>
          <cell r="AS273">
            <v>0</v>
          </cell>
          <cell r="BD273">
            <v>0</v>
          </cell>
          <cell r="BE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CW273">
            <v>0</v>
          </cell>
          <cell r="DF273" t="e">
            <v>#N/A</v>
          </cell>
        </row>
        <row r="274">
          <cell r="Q274">
            <v>0</v>
          </cell>
          <cell r="S274">
            <v>0</v>
          </cell>
          <cell r="U274">
            <v>0</v>
          </cell>
          <cell r="W274">
            <v>0</v>
          </cell>
          <cell r="Y274">
            <v>0</v>
          </cell>
          <cell r="AA274">
            <v>0</v>
          </cell>
          <cell r="AJ274">
            <v>0</v>
          </cell>
          <cell r="AK274">
            <v>0</v>
          </cell>
          <cell r="AL274">
            <v>0</v>
          </cell>
          <cell r="AM274">
            <v>0</v>
          </cell>
          <cell r="AN274">
            <v>0</v>
          </cell>
          <cell r="AO274">
            <v>0</v>
          </cell>
          <cell r="AP274">
            <v>0</v>
          </cell>
          <cell r="AQ274">
            <v>0</v>
          </cell>
          <cell r="AR274">
            <v>0</v>
          </cell>
          <cell r="AS274">
            <v>0</v>
          </cell>
          <cell r="BD274">
            <v>0</v>
          </cell>
          <cell r="BE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0</v>
          </cell>
          <cell r="BW274">
            <v>0</v>
          </cell>
          <cell r="CW274">
            <v>0</v>
          </cell>
          <cell r="DF274" t="e">
            <v>#N/A</v>
          </cell>
        </row>
        <row r="275">
          <cell r="Q275">
            <v>0</v>
          </cell>
          <cell r="S275">
            <v>0</v>
          </cell>
          <cell r="U275">
            <v>0</v>
          </cell>
          <cell r="W275">
            <v>0</v>
          </cell>
          <cell r="Y275">
            <v>0</v>
          </cell>
          <cell r="AA275">
            <v>0</v>
          </cell>
          <cell r="AJ275">
            <v>0</v>
          </cell>
          <cell r="AK275">
            <v>0</v>
          </cell>
          <cell r="AL275">
            <v>0</v>
          </cell>
          <cell r="AM275">
            <v>0</v>
          </cell>
          <cell r="AN275">
            <v>0</v>
          </cell>
          <cell r="AO275">
            <v>0</v>
          </cell>
          <cell r="AP275">
            <v>0</v>
          </cell>
          <cell r="AQ275">
            <v>0</v>
          </cell>
          <cell r="AR275">
            <v>0</v>
          </cell>
          <cell r="AS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0</v>
          </cell>
          <cell r="BW275">
            <v>0</v>
          </cell>
          <cell r="CW275">
            <v>0</v>
          </cell>
        </row>
        <row r="276">
          <cell r="Q276">
            <v>0</v>
          </cell>
          <cell r="S276">
            <v>0</v>
          </cell>
          <cell r="U276">
            <v>0</v>
          </cell>
          <cell r="W276">
            <v>0</v>
          </cell>
          <cell r="Y276">
            <v>0</v>
          </cell>
          <cell r="AA276">
            <v>0</v>
          </cell>
          <cell r="AJ276">
            <v>0</v>
          </cell>
          <cell r="AK276">
            <v>0</v>
          </cell>
          <cell r="AL276">
            <v>0</v>
          </cell>
          <cell r="AM276">
            <v>0</v>
          </cell>
          <cell r="AN276">
            <v>0</v>
          </cell>
          <cell r="AO276">
            <v>0</v>
          </cell>
          <cell r="AP276">
            <v>0</v>
          </cell>
          <cell r="AQ276">
            <v>0</v>
          </cell>
          <cell r="AR276">
            <v>0</v>
          </cell>
          <cell r="AS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CW276">
            <v>0</v>
          </cell>
        </row>
        <row r="277">
          <cell r="Q277">
            <v>0</v>
          </cell>
          <cell r="S277">
            <v>0</v>
          </cell>
          <cell r="U277">
            <v>0</v>
          </cell>
          <cell r="W277">
            <v>0</v>
          </cell>
          <cell r="Y277">
            <v>0</v>
          </cell>
          <cell r="AA277">
            <v>0</v>
          </cell>
          <cell r="AJ277">
            <v>0</v>
          </cell>
          <cell r="AK277">
            <v>0</v>
          </cell>
          <cell r="AL277">
            <v>0</v>
          </cell>
          <cell r="AM277">
            <v>0</v>
          </cell>
          <cell r="AN277">
            <v>0</v>
          </cell>
          <cell r="AO277">
            <v>0</v>
          </cell>
          <cell r="AP277">
            <v>0</v>
          </cell>
          <cell r="AQ277">
            <v>0</v>
          </cell>
          <cell r="AR277">
            <v>0</v>
          </cell>
          <cell r="AS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CW277">
            <v>0</v>
          </cell>
        </row>
        <row r="278">
          <cell r="Q278">
            <v>0</v>
          </cell>
          <cell r="S278">
            <v>0</v>
          </cell>
          <cell r="U278">
            <v>0</v>
          </cell>
          <cell r="W278">
            <v>0</v>
          </cell>
          <cell r="Y278">
            <v>0</v>
          </cell>
          <cell r="AA278">
            <v>0</v>
          </cell>
          <cell r="AJ278">
            <v>0</v>
          </cell>
          <cell r="AK278">
            <v>0</v>
          </cell>
          <cell r="AL278">
            <v>0</v>
          </cell>
          <cell r="AM278">
            <v>0</v>
          </cell>
          <cell r="AN278">
            <v>0</v>
          </cell>
          <cell r="AO278">
            <v>0</v>
          </cell>
          <cell r="AP278">
            <v>0</v>
          </cell>
          <cell r="AQ278">
            <v>0</v>
          </cell>
          <cell r="AR278">
            <v>0</v>
          </cell>
          <cell r="AS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v>0</v>
          </cell>
          <cell r="BW278">
            <v>0</v>
          </cell>
          <cell r="CW278">
            <v>0</v>
          </cell>
        </row>
        <row r="279">
          <cell r="Q279">
            <v>0</v>
          </cell>
          <cell r="S279">
            <v>0</v>
          </cell>
          <cell r="U279">
            <v>0</v>
          </cell>
          <cell r="W279">
            <v>0</v>
          </cell>
          <cell r="Y279">
            <v>0</v>
          </cell>
          <cell r="AA279">
            <v>0</v>
          </cell>
          <cell r="AJ279">
            <v>0</v>
          </cell>
          <cell r="AK279">
            <v>0</v>
          </cell>
          <cell r="AL279">
            <v>0</v>
          </cell>
          <cell r="AM279">
            <v>0</v>
          </cell>
          <cell r="AN279">
            <v>0</v>
          </cell>
          <cell r="AO279">
            <v>0</v>
          </cell>
          <cell r="AP279">
            <v>0</v>
          </cell>
          <cell r="AQ279">
            <v>0</v>
          </cell>
          <cell r="AR279">
            <v>0</v>
          </cell>
          <cell r="AS279">
            <v>0</v>
          </cell>
          <cell r="BD279">
            <v>0</v>
          </cell>
          <cell r="BE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CW279">
            <v>0</v>
          </cell>
        </row>
        <row r="280">
          <cell r="Q280">
            <v>0</v>
          </cell>
          <cell r="S280">
            <v>0</v>
          </cell>
          <cell r="U280">
            <v>0</v>
          </cell>
          <cell r="W280">
            <v>0</v>
          </cell>
          <cell r="Y280">
            <v>0</v>
          </cell>
          <cell r="AA280">
            <v>0</v>
          </cell>
          <cell r="AJ280">
            <v>0</v>
          </cell>
          <cell r="AK280">
            <v>0</v>
          </cell>
          <cell r="AL280">
            <v>0</v>
          </cell>
          <cell r="AM280">
            <v>0</v>
          </cell>
          <cell r="AN280">
            <v>0</v>
          </cell>
          <cell r="AO280">
            <v>0</v>
          </cell>
          <cell r="AP280">
            <v>0</v>
          </cell>
          <cell r="AQ280">
            <v>0</v>
          </cell>
          <cell r="AR280">
            <v>0</v>
          </cell>
          <cell r="AS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CW280">
            <v>0</v>
          </cell>
        </row>
        <row r="281">
          <cell r="Q281">
            <v>0</v>
          </cell>
          <cell r="S281">
            <v>0</v>
          </cell>
          <cell r="U281">
            <v>0</v>
          </cell>
          <cell r="W281">
            <v>0</v>
          </cell>
          <cell r="Y281">
            <v>0</v>
          </cell>
          <cell r="AA281">
            <v>0</v>
          </cell>
          <cell r="AJ281">
            <v>0</v>
          </cell>
          <cell r="AK281">
            <v>0</v>
          </cell>
          <cell r="AL281">
            <v>0</v>
          </cell>
          <cell r="AM281">
            <v>0</v>
          </cell>
          <cell r="AN281">
            <v>0</v>
          </cell>
          <cell r="AO281">
            <v>0</v>
          </cell>
          <cell r="AP281">
            <v>0</v>
          </cell>
          <cell r="AQ281">
            <v>0</v>
          </cell>
          <cell r="AR281">
            <v>0</v>
          </cell>
          <cell r="AS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owngas.sharepoint.com/:b:/r/sites/TGWIKI/BU/RPQD/Express/LM-RPQ-491%20TGC%20TRTB72LT-C%20Grey%20Glass%20Top%2020180625.pdf" TargetMode="External"/><Relationship Id="rId2" Type="http://schemas.openxmlformats.org/officeDocument/2006/relationships/hyperlink" Target="https://towngas.sharepoint.com/:b:/r/sites/TGWIKI/BU/RPQD/Express/RPQ-491%20TGC%20TRTB72LT-C%20Grey%20Glass%20Top%20%2020180625.pdf" TargetMode="External"/><Relationship Id="rId1" Type="http://schemas.openxmlformats.org/officeDocument/2006/relationships/hyperlink" Target="https://cshweb/CSHKMSAdm/CSHIC_Files/csh/product_enq/cut_hole_703x403.htm" TargetMode="External"/><Relationship Id="rId6" Type="http://schemas.openxmlformats.org/officeDocument/2006/relationships/hyperlink" Target="https://www.towngasappliance.com/products/detail/tgc-lotus-flame-built-in-hob-trtb72lt-c" TargetMode="External"/><Relationship Id="rId5" Type="http://schemas.openxmlformats.org/officeDocument/2006/relationships/hyperlink" Target="https://cshweb/CSHKMSAdm/CSHIC_Files/csh/product_enq/Catalogue_TGC_Built_In_Hob_Main.pdf" TargetMode="External"/><Relationship Id="rId4" Type="http://schemas.openxmlformats.org/officeDocument/2006/relationships/hyperlink" Target="https://cshweb/CSHKMSAdm/CSHIC_Files/csh/sellplan/applike1.asp?applike=trtb72lt-c-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
  <sheetViews>
    <sheetView tabSelected="1" topLeftCell="A25" workbookViewId="0">
      <selection activeCell="G35" sqref="G35"/>
    </sheetView>
  </sheetViews>
  <sheetFormatPr defaultRowHeight="16.5" x14ac:dyDescent="0.25"/>
  <cols>
    <col min="1" max="1" width="8.7109375" style="1" customWidth="1"/>
    <col min="2" max="2" width="21.28515625" style="1" customWidth="1"/>
    <col min="3" max="4" width="21.140625" style="3" customWidth="1"/>
    <col min="5" max="256" width="9.140625" style="4"/>
    <col min="257" max="257" width="8.7109375" style="4" customWidth="1"/>
    <col min="258" max="258" width="21.28515625" style="4" customWidth="1"/>
    <col min="259" max="260" width="13.28515625" style="4" customWidth="1"/>
    <col min="261" max="512" width="9.140625" style="4"/>
    <col min="513" max="513" width="8.7109375" style="4" customWidth="1"/>
    <col min="514" max="514" width="21.28515625" style="4" customWidth="1"/>
    <col min="515" max="516" width="13.28515625" style="4" customWidth="1"/>
    <col min="517" max="768" width="9.140625" style="4"/>
    <col min="769" max="769" width="8.7109375" style="4" customWidth="1"/>
    <col min="770" max="770" width="21.28515625" style="4" customWidth="1"/>
    <col min="771" max="772" width="13.28515625" style="4" customWidth="1"/>
    <col min="773" max="1024" width="9.140625" style="4"/>
    <col min="1025" max="1025" width="8.7109375" style="4" customWidth="1"/>
    <col min="1026" max="1026" width="21.28515625" style="4" customWidth="1"/>
    <col min="1027" max="1028" width="13.28515625" style="4" customWidth="1"/>
    <col min="1029" max="1280" width="9.140625" style="4"/>
    <col min="1281" max="1281" width="8.7109375" style="4" customWidth="1"/>
    <col min="1282" max="1282" width="21.28515625" style="4" customWidth="1"/>
    <col min="1283" max="1284" width="13.28515625" style="4" customWidth="1"/>
    <col min="1285" max="1536" width="9.140625" style="4"/>
    <col min="1537" max="1537" width="8.7109375" style="4" customWidth="1"/>
    <col min="1538" max="1538" width="21.28515625" style="4" customWidth="1"/>
    <col min="1539" max="1540" width="13.28515625" style="4" customWidth="1"/>
    <col min="1541" max="1792" width="9.140625" style="4"/>
    <col min="1793" max="1793" width="8.7109375" style="4" customWidth="1"/>
    <col min="1794" max="1794" width="21.28515625" style="4" customWidth="1"/>
    <col min="1795" max="1796" width="13.28515625" style="4" customWidth="1"/>
    <col min="1797" max="2048" width="9.140625" style="4"/>
    <col min="2049" max="2049" width="8.7109375" style="4" customWidth="1"/>
    <col min="2050" max="2050" width="21.28515625" style="4" customWidth="1"/>
    <col min="2051" max="2052" width="13.28515625" style="4" customWidth="1"/>
    <col min="2053" max="2304" width="9.140625" style="4"/>
    <col min="2305" max="2305" width="8.7109375" style="4" customWidth="1"/>
    <col min="2306" max="2306" width="21.28515625" style="4" customWidth="1"/>
    <col min="2307" max="2308" width="13.28515625" style="4" customWidth="1"/>
    <col min="2309" max="2560" width="9.140625" style="4"/>
    <col min="2561" max="2561" width="8.7109375" style="4" customWidth="1"/>
    <col min="2562" max="2562" width="21.28515625" style="4" customWidth="1"/>
    <col min="2563" max="2564" width="13.28515625" style="4" customWidth="1"/>
    <col min="2565" max="2816" width="9.140625" style="4"/>
    <col min="2817" max="2817" width="8.7109375" style="4" customWidth="1"/>
    <col min="2818" max="2818" width="21.28515625" style="4" customWidth="1"/>
    <col min="2819" max="2820" width="13.28515625" style="4" customWidth="1"/>
    <col min="2821" max="3072" width="9.140625" style="4"/>
    <col min="3073" max="3073" width="8.7109375" style="4" customWidth="1"/>
    <col min="3074" max="3074" width="21.28515625" style="4" customWidth="1"/>
    <col min="3075" max="3076" width="13.28515625" style="4" customWidth="1"/>
    <col min="3077" max="3328" width="9.140625" style="4"/>
    <col min="3329" max="3329" width="8.7109375" style="4" customWidth="1"/>
    <col min="3330" max="3330" width="21.28515625" style="4" customWidth="1"/>
    <col min="3331" max="3332" width="13.28515625" style="4" customWidth="1"/>
    <col min="3333" max="3584" width="9.140625" style="4"/>
    <col min="3585" max="3585" width="8.7109375" style="4" customWidth="1"/>
    <col min="3586" max="3586" width="21.28515625" style="4" customWidth="1"/>
    <col min="3587" max="3588" width="13.28515625" style="4" customWidth="1"/>
    <col min="3589" max="3840" width="9.140625" style="4"/>
    <col min="3841" max="3841" width="8.7109375" style="4" customWidth="1"/>
    <col min="3842" max="3842" width="21.28515625" style="4" customWidth="1"/>
    <col min="3843" max="3844" width="13.28515625" style="4" customWidth="1"/>
    <col min="3845" max="4096" width="9.140625" style="4"/>
    <col min="4097" max="4097" width="8.7109375" style="4" customWidth="1"/>
    <col min="4098" max="4098" width="21.28515625" style="4" customWidth="1"/>
    <col min="4099" max="4100" width="13.28515625" style="4" customWidth="1"/>
    <col min="4101" max="4352" width="9.140625" style="4"/>
    <col min="4353" max="4353" width="8.7109375" style="4" customWidth="1"/>
    <col min="4354" max="4354" width="21.28515625" style="4" customWidth="1"/>
    <col min="4355" max="4356" width="13.28515625" style="4" customWidth="1"/>
    <col min="4357" max="4608" width="9.140625" style="4"/>
    <col min="4609" max="4609" width="8.7109375" style="4" customWidth="1"/>
    <col min="4610" max="4610" width="21.28515625" style="4" customWidth="1"/>
    <col min="4611" max="4612" width="13.28515625" style="4" customWidth="1"/>
    <col min="4613" max="4864" width="9.140625" style="4"/>
    <col min="4865" max="4865" width="8.7109375" style="4" customWidth="1"/>
    <col min="4866" max="4866" width="21.28515625" style="4" customWidth="1"/>
    <col min="4867" max="4868" width="13.28515625" style="4" customWidth="1"/>
    <col min="4869" max="5120" width="9.140625" style="4"/>
    <col min="5121" max="5121" width="8.7109375" style="4" customWidth="1"/>
    <col min="5122" max="5122" width="21.28515625" style="4" customWidth="1"/>
    <col min="5123" max="5124" width="13.28515625" style="4" customWidth="1"/>
    <col min="5125" max="5376" width="9.140625" style="4"/>
    <col min="5377" max="5377" width="8.7109375" style="4" customWidth="1"/>
    <col min="5378" max="5378" width="21.28515625" style="4" customWidth="1"/>
    <col min="5379" max="5380" width="13.28515625" style="4" customWidth="1"/>
    <col min="5381" max="5632" width="9.140625" style="4"/>
    <col min="5633" max="5633" width="8.7109375" style="4" customWidth="1"/>
    <col min="5634" max="5634" width="21.28515625" style="4" customWidth="1"/>
    <col min="5635" max="5636" width="13.28515625" style="4" customWidth="1"/>
    <col min="5637" max="5888" width="9.140625" style="4"/>
    <col min="5889" max="5889" width="8.7109375" style="4" customWidth="1"/>
    <col min="5890" max="5890" width="21.28515625" style="4" customWidth="1"/>
    <col min="5891" max="5892" width="13.28515625" style="4" customWidth="1"/>
    <col min="5893" max="6144" width="9.140625" style="4"/>
    <col min="6145" max="6145" width="8.7109375" style="4" customWidth="1"/>
    <col min="6146" max="6146" width="21.28515625" style="4" customWidth="1"/>
    <col min="6147" max="6148" width="13.28515625" style="4" customWidth="1"/>
    <col min="6149" max="6400" width="9.140625" style="4"/>
    <col min="6401" max="6401" width="8.7109375" style="4" customWidth="1"/>
    <col min="6402" max="6402" width="21.28515625" style="4" customWidth="1"/>
    <col min="6403" max="6404" width="13.28515625" style="4" customWidth="1"/>
    <col min="6405" max="6656" width="9.140625" style="4"/>
    <col min="6657" max="6657" width="8.7109375" style="4" customWidth="1"/>
    <col min="6658" max="6658" width="21.28515625" style="4" customWidth="1"/>
    <col min="6659" max="6660" width="13.28515625" style="4" customWidth="1"/>
    <col min="6661" max="6912" width="9.140625" style="4"/>
    <col min="6913" max="6913" width="8.7109375" style="4" customWidth="1"/>
    <col min="6914" max="6914" width="21.28515625" style="4" customWidth="1"/>
    <col min="6915" max="6916" width="13.28515625" style="4" customWidth="1"/>
    <col min="6917" max="7168" width="9.140625" style="4"/>
    <col min="7169" max="7169" width="8.7109375" style="4" customWidth="1"/>
    <col min="7170" max="7170" width="21.28515625" style="4" customWidth="1"/>
    <col min="7171" max="7172" width="13.28515625" style="4" customWidth="1"/>
    <col min="7173" max="7424" width="9.140625" style="4"/>
    <col min="7425" max="7425" width="8.7109375" style="4" customWidth="1"/>
    <col min="7426" max="7426" width="21.28515625" style="4" customWidth="1"/>
    <col min="7427" max="7428" width="13.28515625" style="4" customWidth="1"/>
    <col min="7429" max="7680" width="9.140625" style="4"/>
    <col min="7681" max="7681" width="8.7109375" style="4" customWidth="1"/>
    <col min="7682" max="7682" width="21.28515625" style="4" customWidth="1"/>
    <col min="7683" max="7684" width="13.28515625" style="4" customWidth="1"/>
    <col min="7685" max="7936" width="9.140625" style="4"/>
    <col min="7937" max="7937" width="8.7109375" style="4" customWidth="1"/>
    <col min="7938" max="7938" width="21.28515625" style="4" customWidth="1"/>
    <col min="7939" max="7940" width="13.28515625" style="4" customWidth="1"/>
    <col min="7941" max="8192" width="9.140625" style="4"/>
    <col min="8193" max="8193" width="8.7109375" style="4" customWidth="1"/>
    <col min="8194" max="8194" width="21.28515625" style="4" customWidth="1"/>
    <col min="8195" max="8196" width="13.28515625" style="4" customWidth="1"/>
    <col min="8197" max="8448" width="9.140625" style="4"/>
    <col min="8449" max="8449" width="8.7109375" style="4" customWidth="1"/>
    <col min="8450" max="8450" width="21.28515625" style="4" customWidth="1"/>
    <col min="8451" max="8452" width="13.28515625" style="4" customWidth="1"/>
    <col min="8453" max="8704" width="9.140625" style="4"/>
    <col min="8705" max="8705" width="8.7109375" style="4" customWidth="1"/>
    <col min="8706" max="8706" width="21.28515625" style="4" customWidth="1"/>
    <col min="8707" max="8708" width="13.28515625" style="4" customWidth="1"/>
    <col min="8709" max="8960" width="9.140625" style="4"/>
    <col min="8961" max="8961" width="8.7109375" style="4" customWidth="1"/>
    <col min="8962" max="8962" width="21.28515625" style="4" customWidth="1"/>
    <col min="8963" max="8964" width="13.28515625" style="4" customWidth="1"/>
    <col min="8965" max="9216" width="9.140625" style="4"/>
    <col min="9217" max="9217" width="8.7109375" style="4" customWidth="1"/>
    <col min="9218" max="9218" width="21.28515625" style="4" customWidth="1"/>
    <col min="9219" max="9220" width="13.28515625" style="4" customWidth="1"/>
    <col min="9221" max="9472" width="9.140625" style="4"/>
    <col min="9473" max="9473" width="8.7109375" style="4" customWidth="1"/>
    <col min="9474" max="9474" width="21.28515625" style="4" customWidth="1"/>
    <col min="9475" max="9476" width="13.28515625" style="4" customWidth="1"/>
    <col min="9477" max="9728" width="9.140625" style="4"/>
    <col min="9729" max="9729" width="8.7109375" style="4" customWidth="1"/>
    <col min="9730" max="9730" width="21.28515625" style="4" customWidth="1"/>
    <col min="9731" max="9732" width="13.28515625" style="4" customWidth="1"/>
    <col min="9733" max="9984" width="9.140625" style="4"/>
    <col min="9985" max="9985" width="8.7109375" style="4" customWidth="1"/>
    <col min="9986" max="9986" width="21.28515625" style="4" customWidth="1"/>
    <col min="9987" max="9988" width="13.28515625" style="4" customWidth="1"/>
    <col min="9989" max="10240" width="9.140625" style="4"/>
    <col min="10241" max="10241" width="8.7109375" style="4" customWidth="1"/>
    <col min="10242" max="10242" width="21.28515625" style="4" customWidth="1"/>
    <col min="10243" max="10244" width="13.28515625" style="4" customWidth="1"/>
    <col min="10245" max="10496" width="9.140625" style="4"/>
    <col min="10497" max="10497" width="8.7109375" style="4" customWidth="1"/>
    <col min="10498" max="10498" width="21.28515625" style="4" customWidth="1"/>
    <col min="10499" max="10500" width="13.28515625" style="4" customWidth="1"/>
    <col min="10501" max="10752" width="9.140625" style="4"/>
    <col min="10753" max="10753" width="8.7109375" style="4" customWidth="1"/>
    <col min="10754" max="10754" width="21.28515625" style="4" customWidth="1"/>
    <col min="10755" max="10756" width="13.28515625" style="4" customWidth="1"/>
    <col min="10757" max="11008" width="9.140625" style="4"/>
    <col min="11009" max="11009" width="8.7109375" style="4" customWidth="1"/>
    <col min="11010" max="11010" width="21.28515625" style="4" customWidth="1"/>
    <col min="11011" max="11012" width="13.28515625" style="4" customWidth="1"/>
    <col min="11013" max="11264" width="9.140625" style="4"/>
    <col min="11265" max="11265" width="8.7109375" style="4" customWidth="1"/>
    <col min="11266" max="11266" width="21.28515625" style="4" customWidth="1"/>
    <col min="11267" max="11268" width="13.28515625" style="4" customWidth="1"/>
    <col min="11269" max="11520" width="9.140625" style="4"/>
    <col min="11521" max="11521" width="8.7109375" style="4" customWidth="1"/>
    <col min="11522" max="11522" width="21.28515625" style="4" customWidth="1"/>
    <col min="11523" max="11524" width="13.28515625" style="4" customWidth="1"/>
    <col min="11525" max="11776" width="9.140625" style="4"/>
    <col min="11777" max="11777" width="8.7109375" style="4" customWidth="1"/>
    <col min="11778" max="11778" width="21.28515625" style="4" customWidth="1"/>
    <col min="11779" max="11780" width="13.28515625" style="4" customWidth="1"/>
    <col min="11781" max="12032" width="9.140625" style="4"/>
    <col min="12033" max="12033" width="8.7109375" style="4" customWidth="1"/>
    <col min="12034" max="12034" width="21.28515625" style="4" customWidth="1"/>
    <col min="12035" max="12036" width="13.28515625" style="4" customWidth="1"/>
    <col min="12037" max="12288" width="9.140625" style="4"/>
    <col min="12289" max="12289" width="8.7109375" style="4" customWidth="1"/>
    <col min="12290" max="12290" width="21.28515625" style="4" customWidth="1"/>
    <col min="12291" max="12292" width="13.28515625" style="4" customWidth="1"/>
    <col min="12293" max="12544" width="9.140625" style="4"/>
    <col min="12545" max="12545" width="8.7109375" style="4" customWidth="1"/>
    <col min="12546" max="12546" width="21.28515625" style="4" customWidth="1"/>
    <col min="12547" max="12548" width="13.28515625" style="4" customWidth="1"/>
    <col min="12549" max="12800" width="9.140625" style="4"/>
    <col min="12801" max="12801" width="8.7109375" style="4" customWidth="1"/>
    <col min="12802" max="12802" width="21.28515625" style="4" customWidth="1"/>
    <col min="12803" max="12804" width="13.28515625" style="4" customWidth="1"/>
    <col min="12805" max="13056" width="9.140625" style="4"/>
    <col min="13057" max="13057" width="8.7109375" style="4" customWidth="1"/>
    <col min="13058" max="13058" width="21.28515625" style="4" customWidth="1"/>
    <col min="13059" max="13060" width="13.28515625" style="4" customWidth="1"/>
    <col min="13061" max="13312" width="9.140625" style="4"/>
    <col min="13313" max="13313" width="8.7109375" style="4" customWidth="1"/>
    <col min="13314" max="13314" width="21.28515625" style="4" customWidth="1"/>
    <col min="13315" max="13316" width="13.28515625" style="4" customWidth="1"/>
    <col min="13317" max="13568" width="9.140625" style="4"/>
    <col min="13569" max="13569" width="8.7109375" style="4" customWidth="1"/>
    <col min="13570" max="13570" width="21.28515625" style="4" customWidth="1"/>
    <col min="13571" max="13572" width="13.28515625" style="4" customWidth="1"/>
    <col min="13573" max="13824" width="9.140625" style="4"/>
    <col min="13825" max="13825" width="8.7109375" style="4" customWidth="1"/>
    <col min="13826" max="13826" width="21.28515625" style="4" customWidth="1"/>
    <col min="13827" max="13828" width="13.28515625" style="4" customWidth="1"/>
    <col min="13829" max="14080" width="9.140625" style="4"/>
    <col min="14081" max="14081" width="8.7109375" style="4" customWidth="1"/>
    <col min="14082" max="14082" width="21.28515625" style="4" customWidth="1"/>
    <col min="14083" max="14084" width="13.28515625" style="4" customWidth="1"/>
    <col min="14085" max="14336" width="9.140625" style="4"/>
    <col min="14337" max="14337" width="8.7109375" style="4" customWidth="1"/>
    <col min="14338" max="14338" width="21.28515625" style="4" customWidth="1"/>
    <col min="14339" max="14340" width="13.28515625" style="4" customWidth="1"/>
    <col min="14341" max="14592" width="9.140625" style="4"/>
    <col min="14593" max="14593" width="8.7109375" style="4" customWidth="1"/>
    <col min="14594" max="14594" width="21.28515625" style="4" customWidth="1"/>
    <col min="14595" max="14596" width="13.28515625" style="4" customWidth="1"/>
    <col min="14597" max="14848" width="9.140625" style="4"/>
    <col min="14849" max="14849" width="8.7109375" style="4" customWidth="1"/>
    <col min="14850" max="14850" width="21.28515625" style="4" customWidth="1"/>
    <col min="14851" max="14852" width="13.28515625" style="4" customWidth="1"/>
    <col min="14853" max="15104" width="9.140625" style="4"/>
    <col min="15105" max="15105" width="8.7109375" style="4" customWidth="1"/>
    <col min="15106" max="15106" width="21.28515625" style="4" customWidth="1"/>
    <col min="15107" max="15108" width="13.28515625" style="4" customWidth="1"/>
    <col min="15109" max="15360" width="9.140625" style="4"/>
    <col min="15361" max="15361" width="8.7109375" style="4" customWidth="1"/>
    <col min="15362" max="15362" width="21.28515625" style="4" customWidth="1"/>
    <col min="15363" max="15364" width="13.28515625" style="4" customWidth="1"/>
    <col min="15365" max="15616" width="9.140625" style="4"/>
    <col min="15617" max="15617" width="8.7109375" style="4" customWidth="1"/>
    <col min="15618" max="15618" width="21.28515625" style="4" customWidth="1"/>
    <col min="15619" max="15620" width="13.28515625" style="4" customWidth="1"/>
    <col min="15621" max="15872" width="9.140625" style="4"/>
    <col min="15873" max="15873" width="8.7109375" style="4" customWidth="1"/>
    <col min="15874" max="15874" width="21.28515625" style="4" customWidth="1"/>
    <col min="15875" max="15876" width="13.28515625" style="4" customWidth="1"/>
    <col min="15877" max="16128" width="9.140625" style="4"/>
    <col min="16129" max="16129" width="8.7109375" style="4" customWidth="1"/>
    <col min="16130" max="16130" width="21.28515625" style="4" customWidth="1"/>
    <col min="16131" max="16132" width="13.28515625" style="4" customWidth="1"/>
    <col min="16133" max="16384" width="9.140625" style="4"/>
  </cols>
  <sheetData>
    <row r="1" spans="1:4" hidden="1" x14ac:dyDescent="0.25">
      <c r="C1" s="2" t="s">
        <v>57</v>
      </c>
    </row>
    <row r="2" spans="1:4" ht="15.75" thickBot="1" x14ac:dyDescent="0.3">
      <c r="A2" s="25" t="s">
        <v>59</v>
      </c>
      <c r="B2" s="25"/>
      <c r="C2" s="26" t="s">
        <v>60</v>
      </c>
      <c r="D2" s="26"/>
    </row>
    <row r="3" spans="1:4" ht="17.25" thickBot="1" x14ac:dyDescent="0.3">
      <c r="A3" s="27" t="s">
        <v>0</v>
      </c>
      <c r="B3" s="28"/>
      <c r="C3" s="29" t="s">
        <v>61</v>
      </c>
      <c r="D3" s="30"/>
    </row>
    <row r="4" spans="1:4" x14ac:dyDescent="0.25">
      <c r="A4" s="27" t="s">
        <v>1</v>
      </c>
      <c r="B4" s="31"/>
      <c r="C4" s="32" t="s">
        <v>62</v>
      </c>
      <c r="D4" s="30"/>
    </row>
    <row r="5" spans="1:4" x14ac:dyDescent="0.25">
      <c r="A5" s="33" t="s">
        <v>2</v>
      </c>
      <c r="B5" s="34"/>
      <c r="C5" s="35" t="s">
        <v>63</v>
      </c>
      <c r="D5" s="36"/>
    </row>
    <row r="6" spans="1:4" x14ac:dyDescent="0.25">
      <c r="A6" s="37" t="s">
        <v>3</v>
      </c>
      <c r="B6" s="38"/>
      <c r="C6" s="39" t="s">
        <v>59</v>
      </c>
      <c r="D6" s="40"/>
    </row>
    <row r="7" spans="1:4" x14ac:dyDescent="0.25">
      <c r="A7" s="41" t="s">
        <v>4</v>
      </c>
      <c r="B7" s="42"/>
      <c r="C7" s="43" t="s">
        <v>64</v>
      </c>
      <c r="D7" s="44"/>
    </row>
    <row r="8" spans="1:4" ht="15" x14ac:dyDescent="0.25">
      <c r="A8" s="45" t="s">
        <v>58</v>
      </c>
      <c r="B8" s="46"/>
      <c r="C8" s="47" t="s">
        <v>65</v>
      </c>
      <c r="D8" s="48"/>
    </row>
    <row r="9" spans="1:4" x14ac:dyDescent="0.25">
      <c r="A9" s="49" t="s">
        <v>5</v>
      </c>
      <c r="B9" s="50"/>
      <c r="C9" s="51" t="s">
        <v>59</v>
      </c>
      <c r="D9" s="52"/>
    </row>
    <row r="10" spans="1:4" x14ac:dyDescent="0.25">
      <c r="A10" s="37"/>
      <c r="B10" s="53"/>
      <c r="C10" s="54" t="s">
        <v>59</v>
      </c>
      <c r="D10" s="55"/>
    </row>
    <row r="11" spans="1:4" ht="16.5" customHeight="1" x14ac:dyDescent="0.25">
      <c r="A11" s="56" t="s">
        <v>6</v>
      </c>
      <c r="B11" s="58"/>
      <c r="C11" s="59" t="s">
        <v>66</v>
      </c>
      <c r="D11" s="60"/>
    </row>
    <row r="12" spans="1:4" ht="16.5" customHeight="1" x14ac:dyDescent="0.25">
      <c r="A12" s="56" t="s">
        <v>7</v>
      </c>
      <c r="B12" s="58"/>
      <c r="C12" s="59" t="s">
        <v>59</v>
      </c>
      <c r="D12" s="60"/>
    </row>
    <row r="13" spans="1:4" x14ac:dyDescent="0.25">
      <c r="A13" s="56" t="s">
        <v>8</v>
      </c>
      <c r="B13" s="57"/>
      <c r="C13" s="61" t="s">
        <v>67</v>
      </c>
      <c r="D13" s="55"/>
    </row>
    <row r="14" spans="1:4" ht="33" customHeight="1" x14ac:dyDescent="0.25">
      <c r="A14" s="56" t="s">
        <v>9</v>
      </c>
      <c r="B14" s="57"/>
      <c r="C14" s="62">
        <v>7680</v>
      </c>
      <c r="D14" s="63"/>
    </row>
    <row r="15" spans="1:4" x14ac:dyDescent="0.25">
      <c r="A15" s="56" t="s">
        <v>10</v>
      </c>
      <c r="B15" s="57"/>
      <c r="C15" s="64" t="s">
        <v>68</v>
      </c>
      <c r="D15" s="65"/>
    </row>
    <row r="16" spans="1:4" x14ac:dyDescent="0.25">
      <c r="A16" s="66" t="s">
        <v>11</v>
      </c>
      <c r="B16" s="5"/>
      <c r="C16" s="6" t="s">
        <v>12</v>
      </c>
      <c r="D16" s="7" t="s">
        <v>13</v>
      </c>
    </row>
    <row r="17" spans="1:4" x14ac:dyDescent="0.25">
      <c r="A17" s="67"/>
      <c r="B17" s="5" t="s">
        <v>14</v>
      </c>
      <c r="C17" s="8">
        <v>55</v>
      </c>
      <c r="D17" s="9">
        <v>2.1653543307086616</v>
      </c>
    </row>
    <row r="18" spans="1:4" x14ac:dyDescent="0.25">
      <c r="A18" s="67"/>
      <c r="B18" s="5" t="s">
        <v>15</v>
      </c>
      <c r="C18" s="8">
        <v>64</v>
      </c>
      <c r="D18" s="9">
        <v>2.5196850393700787</v>
      </c>
    </row>
    <row r="19" spans="1:4" x14ac:dyDescent="0.25">
      <c r="A19" s="67"/>
      <c r="B19" s="5" t="s">
        <v>16</v>
      </c>
      <c r="C19" s="8">
        <v>108.5</v>
      </c>
      <c r="D19" s="9">
        <v>4.271653543307087</v>
      </c>
    </row>
    <row r="20" spans="1:4" x14ac:dyDescent="0.25">
      <c r="A20" s="67"/>
      <c r="B20" s="5" t="s">
        <v>17</v>
      </c>
      <c r="C20" s="8">
        <v>760</v>
      </c>
      <c r="D20" s="9">
        <v>29.921259842519685</v>
      </c>
    </row>
    <row r="21" spans="1:4" x14ac:dyDescent="0.25">
      <c r="A21" s="68"/>
      <c r="B21" s="5" t="s">
        <v>18</v>
      </c>
      <c r="C21" s="8">
        <v>440</v>
      </c>
      <c r="D21" s="9">
        <v>17.322834645669293</v>
      </c>
    </row>
    <row r="22" spans="1:4" x14ac:dyDescent="0.25">
      <c r="A22" s="56" t="s">
        <v>19</v>
      </c>
      <c r="B22" s="57"/>
      <c r="C22" s="10">
        <v>470</v>
      </c>
      <c r="D22" s="11">
        <v>18.503937007874018</v>
      </c>
    </row>
    <row r="23" spans="1:4" x14ac:dyDescent="0.25">
      <c r="A23" s="56" t="s">
        <v>20</v>
      </c>
      <c r="B23" s="58"/>
      <c r="C23" s="54" t="s">
        <v>59</v>
      </c>
      <c r="D23" s="55"/>
    </row>
    <row r="24" spans="1:4" x14ac:dyDescent="0.25">
      <c r="A24" s="56" t="s">
        <v>21</v>
      </c>
      <c r="B24" s="57"/>
      <c r="C24" s="73" t="s">
        <v>69</v>
      </c>
      <c r="D24" s="74"/>
    </row>
    <row r="25" spans="1:4" ht="16.5" customHeight="1" x14ac:dyDescent="0.25">
      <c r="A25" s="66" t="s">
        <v>22</v>
      </c>
      <c r="B25" s="5" t="s">
        <v>23</v>
      </c>
      <c r="C25" s="75">
        <v>2</v>
      </c>
      <c r="D25" s="76"/>
    </row>
    <row r="26" spans="1:4" ht="16.5" customHeight="1" x14ac:dyDescent="0.25">
      <c r="A26" s="67"/>
      <c r="B26" s="5" t="s">
        <v>24</v>
      </c>
      <c r="C26" s="12" t="s">
        <v>70</v>
      </c>
      <c r="D26" s="13" t="s">
        <v>71</v>
      </c>
    </row>
    <row r="27" spans="1:4" x14ac:dyDescent="0.25">
      <c r="A27" s="67"/>
      <c r="B27" s="14" t="s">
        <v>25</v>
      </c>
      <c r="C27" s="15">
        <v>19.079999999999998</v>
      </c>
      <c r="D27" s="16">
        <v>19.079999999999998</v>
      </c>
    </row>
    <row r="28" spans="1:4" x14ac:dyDescent="0.25">
      <c r="A28" s="67"/>
      <c r="B28" s="14" t="s">
        <v>26</v>
      </c>
      <c r="C28" s="15">
        <v>1.08</v>
      </c>
      <c r="D28" s="16">
        <v>1.08</v>
      </c>
    </row>
    <row r="29" spans="1:4" x14ac:dyDescent="0.25">
      <c r="A29" s="67"/>
      <c r="B29" s="14" t="s">
        <v>27</v>
      </c>
      <c r="C29" s="15">
        <v>5.3</v>
      </c>
      <c r="D29" s="16">
        <v>5.3</v>
      </c>
    </row>
    <row r="30" spans="1:4" x14ac:dyDescent="0.25">
      <c r="A30" s="67"/>
      <c r="B30" s="14" t="s">
        <v>28</v>
      </c>
      <c r="C30" s="15">
        <v>0.3</v>
      </c>
      <c r="D30" s="16">
        <v>0.3</v>
      </c>
    </row>
    <row r="31" spans="1:4" x14ac:dyDescent="0.25">
      <c r="A31" s="67"/>
      <c r="B31" s="5" t="s">
        <v>29</v>
      </c>
      <c r="C31" s="17">
        <v>18104.574468039998</v>
      </c>
      <c r="D31" s="18">
        <v>18104.574468039998</v>
      </c>
    </row>
    <row r="32" spans="1:4" x14ac:dyDescent="0.25">
      <c r="A32" s="68"/>
      <c r="B32" s="5" t="s">
        <v>30</v>
      </c>
      <c r="C32" s="17">
        <v>1024.7872340399999</v>
      </c>
      <c r="D32" s="18">
        <v>1024.7872340399999</v>
      </c>
    </row>
    <row r="33" spans="1:4" x14ac:dyDescent="0.25">
      <c r="A33" s="56" t="s">
        <v>31</v>
      </c>
      <c r="B33" s="57"/>
      <c r="C33" s="19">
        <v>4.9798799999999996</v>
      </c>
      <c r="D33" s="20">
        <v>4.9798799999999996</v>
      </c>
    </row>
    <row r="34" spans="1:4" x14ac:dyDescent="0.25">
      <c r="A34" s="56" t="s">
        <v>32</v>
      </c>
      <c r="B34" s="57"/>
      <c r="C34" s="19">
        <v>0.28188000000000002</v>
      </c>
      <c r="D34" s="20">
        <v>0.28188000000000002</v>
      </c>
    </row>
    <row r="35" spans="1:4" x14ac:dyDescent="0.25">
      <c r="A35" s="77" t="s">
        <v>33</v>
      </c>
      <c r="B35" s="78"/>
      <c r="C35" s="21" t="s">
        <v>72</v>
      </c>
      <c r="D35" s="22" t="s">
        <v>72</v>
      </c>
    </row>
    <row r="36" spans="1:4" ht="150" customHeight="1" x14ac:dyDescent="0.25">
      <c r="A36" s="56" t="s">
        <v>34</v>
      </c>
      <c r="B36" s="57"/>
      <c r="C36" s="79" t="s">
        <v>73</v>
      </c>
      <c r="D36" s="80"/>
    </row>
    <row r="37" spans="1:4" x14ac:dyDescent="0.25">
      <c r="A37" s="69" t="s">
        <v>35</v>
      </c>
      <c r="B37" s="5" t="s">
        <v>36</v>
      </c>
      <c r="C37" s="71" t="s">
        <v>74</v>
      </c>
      <c r="D37" s="72"/>
    </row>
    <row r="38" spans="1:4" x14ac:dyDescent="0.25">
      <c r="A38" s="70"/>
      <c r="B38" s="5" t="s">
        <v>37</v>
      </c>
      <c r="C38" s="71" t="s">
        <v>75</v>
      </c>
      <c r="D38" s="72"/>
    </row>
    <row r="39" spans="1:4" x14ac:dyDescent="0.25">
      <c r="A39" s="56" t="s">
        <v>38</v>
      </c>
      <c r="B39" s="57"/>
      <c r="C39" s="81" t="s">
        <v>59</v>
      </c>
      <c r="D39" s="55"/>
    </row>
    <row r="40" spans="1:4" ht="50.1" customHeight="1" x14ac:dyDescent="0.25">
      <c r="A40" s="56" t="s">
        <v>39</v>
      </c>
      <c r="B40" s="57"/>
      <c r="C40" s="83" t="s">
        <v>76</v>
      </c>
      <c r="D40" s="84"/>
    </row>
    <row r="41" spans="1:4" x14ac:dyDescent="0.25">
      <c r="A41" s="77" t="s">
        <v>40</v>
      </c>
      <c r="B41" s="85"/>
      <c r="C41" s="86" t="s">
        <v>77</v>
      </c>
      <c r="D41" s="87"/>
    </row>
    <row r="42" spans="1:4" x14ac:dyDescent="0.25">
      <c r="A42" s="77" t="s">
        <v>41</v>
      </c>
      <c r="B42" s="85"/>
      <c r="C42" s="88" t="s">
        <v>77</v>
      </c>
      <c r="D42" s="89"/>
    </row>
    <row r="43" spans="1:4" ht="16.5" customHeight="1" x14ac:dyDescent="0.25">
      <c r="A43" s="90" t="s">
        <v>42</v>
      </c>
      <c r="B43" s="5" t="s">
        <v>43</v>
      </c>
      <c r="C43" s="93" t="s">
        <v>59</v>
      </c>
      <c r="D43" s="94"/>
    </row>
    <row r="44" spans="1:4" ht="16.5" customHeight="1" x14ac:dyDescent="0.25">
      <c r="A44" s="91"/>
      <c r="B44" s="5" t="s">
        <v>44</v>
      </c>
      <c r="C44" s="93" t="s">
        <v>59</v>
      </c>
      <c r="D44" s="94"/>
    </row>
    <row r="45" spans="1:4" ht="16.5" customHeight="1" x14ac:dyDescent="0.25">
      <c r="A45" s="91"/>
      <c r="B45" s="5" t="s">
        <v>44</v>
      </c>
      <c r="C45" s="93" t="s">
        <v>59</v>
      </c>
      <c r="D45" s="94"/>
    </row>
    <row r="46" spans="1:4" x14ac:dyDescent="0.25">
      <c r="A46" s="91"/>
      <c r="B46" s="5" t="s">
        <v>45</v>
      </c>
      <c r="C46" s="93" t="s">
        <v>59</v>
      </c>
      <c r="D46" s="94"/>
    </row>
    <row r="47" spans="1:4" x14ac:dyDescent="0.25">
      <c r="A47" s="91"/>
      <c r="B47" s="5" t="s">
        <v>45</v>
      </c>
      <c r="C47" s="93" t="s">
        <v>59</v>
      </c>
      <c r="D47" s="94"/>
    </row>
    <row r="48" spans="1:4" x14ac:dyDescent="0.25">
      <c r="A48" s="91"/>
      <c r="B48" s="5" t="s">
        <v>46</v>
      </c>
      <c r="C48" s="93" t="s">
        <v>59</v>
      </c>
      <c r="D48" s="94"/>
    </row>
    <row r="49" spans="1:4" x14ac:dyDescent="0.25">
      <c r="A49" s="91"/>
      <c r="B49" s="5" t="s">
        <v>47</v>
      </c>
      <c r="C49" s="93" t="s">
        <v>59</v>
      </c>
      <c r="D49" s="94"/>
    </row>
    <row r="50" spans="1:4" x14ac:dyDescent="0.25">
      <c r="A50" s="92"/>
      <c r="B50" s="5" t="s">
        <v>48</v>
      </c>
      <c r="C50" s="93" t="s">
        <v>59</v>
      </c>
      <c r="D50" s="94"/>
    </row>
    <row r="51" spans="1:4" ht="33.950000000000003" customHeight="1" x14ac:dyDescent="0.25">
      <c r="A51" s="56" t="s">
        <v>49</v>
      </c>
      <c r="B51" s="57"/>
      <c r="C51" s="81" t="s">
        <v>78</v>
      </c>
      <c r="D51" s="55"/>
    </row>
    <row r="52" spans="1:4" ht="16.5" customHeight="1" x14ac:dyDescent="0.25">
      <c r="A52" s="37" t="s">
        <v>50</v>
      </c>
      <c r="B52" s="82"/>
      <c r="C52" s="64" t="s">
        <v>68</v>
      </c>
      <c r="D52" s="65"/>
    </row>
    <row r="53" spans="1:4" x14ac:dyDescent="0.25">
      <c r="A53" s="56" t="s">
        <v>51</v>
      </c>
      <c r="B53" s="57"/>
      <c r="C53" s="64" t="s">
        <v>68</v>
      </c>
      <c r="D53" s="65"/>
    </row>
    <row r="54" spans="1:4" x14ac:dyDescent="0.25">
      <c r="A54" s="56" t="s">
        <v>52</v>
      </c>
      <c r="B54" s="58"/>
      <c r="C54" s="96" t="s">
        <v>59</v>
      </c>
      <c r="D54" s="97"/>
    </row>
    <row r="55" spans="1:4" x14ac:dyDescent="0.25">
      <c r="A55" s="49" t="s">
        <v>53</v>
      </c>
      <c r="B55" s="98"/>
      <c r="C55" s="23">
        <v>12.5</v>
      </c>
      <c r="D55" s="24">
        <v>27.500000000000004</v>
      </c>
    </row>
    <row r="56" spans="1:4" x14ac:dyDescent="0.25">
      <c r="A56" s="99"/>
      <c r="B56" s="100"/>
      <c r="C56" s="23" t="s">
        <v>54</v>
      </c>
      <c r="D56" s="24" t="s">
        <v>55</v>
      </c>
    </row>
    <row r="57" spans="1:4" ht="150" customHeight="1" thickBot="1" x14ac:dyDescent="0.3">
      <c r="A57" s="101" t="s">
        <v>56</v>
      </c>
      <c r="B57" s="102"/>
      <c r="C57" s="103" t="s">
        <v>59</v>
      </c>
      <c r="D57" s="104"/>
    </row>
    <row r="58" spans="1:4" x14ac:dyDescent="0.25">
      <c r="C58" s="95" t="str">
        <f>IF(VLOOKUP(C1,'[1]built in hob data'!$A$1:$DI$65536,103,FALSE)="","",VLOOKUP(C1,'[1]built in hob data'!$A$1:$DI$65536,103,FALSE))</f>
        <v/>
      </c>
      <c r="D58" s="95"/>
    </row>
    <row r="59" spans="1:4" x14ac:dyDescent="0.25">
      <c r="C59" s="95" t="str">
        <f>IF(VLOOKUP(C1,'[1]built in hob data'!$A$1:$DI$65536,104,FALSE)="","",VLOOKUP(C1,'[1]built in hob data'!$A$1:$DI$65536,104,FALSE))</f>
        <v/>
      </c>
      <c r="D59" s="95"/>
    </row>
    <row r="60" spans="1:4" x14ac:dyDescent="0.25">
      <c r="C60" s="95" t="str">
        <f>IF(VLOOKUP(C1,'[1]built in hob data'!$A$1:$DI$65536,105,FALSE)="","",VLOOKUP(C1,'[1]built in hob data'!$A$1:$DI$65536,105,FALSE))</f>
        <v/>
      </c>
      <c r="D60" s="95"/>
    </row>
    <row r="61" spans="1:4" x14ac:dyDescent="0.25">
      <c r="C61" s="95" t="str">
        <f>IF(VLOOKUP(C1,'[1]built in hob data'!$A$1:$DI$65536,106,FALSE)="","",VLOOKUP(C1,'[1]built in hob data'!$A$1:$DI$65536,106,FALSE))</f>
        <v/>
      </c>
      <c r="D61" s="95"/>
    </row>
    <row r="62" spans="1:4" x14ac:dyDescent="0.25">
      <c r="C62" s="95" t="str">
        <f>IF(VLOOKUP(C1,'[1]built in hob data'!$A$1:$DI$65536,107,FALSE)="","",VLOOKUP(C1,'[1]built in hob data'!$A$1:$DI$65536,107,FALSE))</f>
        <v/>
      </c>
      <c r="D62" s="95"/>
    </row>
    <row r="63" spans="1:4" x14ac:dyDescent="0.25">
      <c r="C63" s="95" t="str">
        <f>IF(VLOOKUP(C1,'[1]built in hob data'!$A$1:$DI$65536,108,FALSE)="","",VLOOKUP(C1,'[1]built in hob data'!$A$1:$DI$65536,108,FALSE))</f>
        <v/>
      </c>
      <c r="D63" s="95"/>
    </row>
    <row r="64" spans="1:4" x14ac:dyDescent="0.25">
      <c r="C64" s="95" t="str">
        <f>IF(VLOOKUP(C1,'[1]built in hob data'!$A$1:$DI$65536,109,FALSE)="","",VLOOKUP(C1,'[1]built in hob data'!$A$1:$DI$65536,109,FALSE))</f>
        <v/>
      </c>
      <c r="D64" s="95"/>
    </row>
  </sheetData>
  <mergeCells count="79">
    <mergeCell ref="A53:B53"/>
    <mergeCell ref="C53:D53"/>
    <mergeCell ref="C64:D64"/>
    <mergeCell ref="A54:B54"/>
    <mergeCell ref="C54:D54"/>
    <mergeCell ref="A55:B56"/>
    <mergeCell ref="A57:B57"/>
    <mergeCell ref="C57:D57"/>
    <mergeCell ref="C58:D58"/>
    <mergeCell ref="C59:D59"/>
    <mergeCell ref="C60:D60"/>
    <mergeCell ref="C61:D61"/>
    <mergeCell ref="C62:D62"/>
    <mergeCell ref="C63:D63"/>
    <mergeCell ref="C47:D47"/>
    <mergeCell ref="C48:D48"/>
    <mergeCell ref="C49:D49"/>
    <mergeCell ref="C50:D50"/>
    <mergeCell ref="C52:D52"/>
    <mergeCell ref="A51:B51"/>
    <mergeCell ref="C51:D51"/>
    <mergeCell ref="A52:B52"/>
    <mergeCell ref="A39:B39"/>
    <mergeCell ref="C39:D39"/>
    <mergeCell ref="A40:B40"/>
    <mergeCell ref="C40:D40"/>
    <mergeCell ref="A41:B41"/>
    <mergeCell ref="C41:D41"/>
    <mergeCell ref="A42:B42"/>
    <mergeCell ref="C42:D42"/>
    <mergeCell ref="A43:A50"/>
    <mergeCell ref="C43:D43"/>
    <mergeCell ref="C44:D44"/>
    <mergeCell ref="C45:D45"/>
    <mergeCell ref="C46:D46"/>
    <mergeCell ref="A37:A38"/>
    <mergeCell ref="C37:D37"/>
    <mergeCell ref="C38:D38"/>
    <mergeCell ref="A23:B23"/>
    <mergeCell ref="C23:D23"/>
    <mergeCell ref="A24:B24"/>
    <mergeCell ref="C24:D24"/>
    <mergeCell ref="A25:A32"/>
    <mergeCell ref="C25:D25"/>
    <mergeCell ref="A33:B33"/>
    <mergeCell ref="A34:B34"/>
    <mergeCell ref="A35:B35"/>
    <mergeCell ref="A36:B36"/>
    <mergeCell ref="C36:D36"/>
    <mergeCell ref="A22:B22"/>
    <mergeCell ref="A11:B11"/>
    <mergeCell ref="C11:D11"/>
    <mergeCell ref="A12:B12"/>
    <mergeCell ref="C12:D12"/>
    <mergeCell ref="A13:B13"/>
    <mergeCell ref="C13:D13"/>
    <mergeCell ref="A14:B14"/>
    <mergeCell ref="C14:D14"/>
    <mergeCell ref="A15:B15"/>
    <mergeCell ref="C15:D15"/>
    <mergeCell ref="A16:A21"/>
    <mergeCell ref="A8:B8"/>
    <mergeCell ref="C8:D8"/>
    <mergeCell ref="A9:B9"/>
    <mergeCell ref="C9:D9"/>
    <mergeCell ref="A10:B10"/>
    <mergeCell ref="C10:D10"/>
    <mergeCell ref="A5:B5"/>
    <mergeCell ref="C5:D5"/>
    <mergeCell ref="A6:B6"/>
    <mergeCell ref="C6:D6"/>
    <mergeCell ref="A7:B7"/>
    <mergeCell ref="C7:D7"/>
    <mergeCell ref="A2:B2"/>
    <mergeCell ref="C2:D2"/>
    <mergeCell ref="A3:B3"/>
    <mergeCell ref="C3:D3"/>
    <mergeCell ref="A4:B4"/>
    <mergeCell ref="C4:D4"/>
  </mergeCells>
  <hyperlinks>
    <hyperlink ref="C15:D15" r:id="rId1" display="https://cshweb/CSHKMSAdm/CSHIC_Files/csh/product_enq/cut_hole_703x403.htm" xr:uid="{00000000-0004-0000-0000-000000000000}"/>
    <hyperlink ref="C52:D52" r:id="rId2" display="https://towngas.sharepoint.com/:b:/r/sites/TGWIKI/BU/RPQD/Express/RPQ-491 TGC TRTB72LT-C Grey Glass Top  20180625.pdf" xr:uid="{00000000-0004-0000-0000-000001000000}"/>
    <hyperlink ref="C53:D53" r:id="rId3" display="https://towngas.sharepoint.com/:b:/r/sites/TGWIKI/BU/RPQD/Express/LM-RPQ-491 TGC TRTB72LT-C Grey Glass Top 20180625.pdf" xr:uid="{00000000-0004-0000-0000-000002000000}"/>
    <hyperlink ref="C3:D3" r:id="rId4" display="https://cshweb/CSHKMSAdm/CSHIC_Files/csh/sellplan/applike1.asp?applike=trtb72lt-c-c" xr:uid="{00000000-0004-0000-0000-000003000000}"/>
    <hyperlink ref="C4:D4" r:id="rId5" display="https://cshweb/CSHKMSAdm/CSHIC_Files/csh/product_enq/Catalogue_TGC_Built_In_Hob_Main.pdf" xr:uid="{00000000-0004-0000-0000-000004000000}"/>
    <hyperlink ref="C7:D7" r:id="rId6" display="https://www.towngasappliance.com/products/detail/tgc-lotus-flame-built-in-hob-trtb72lt-c"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trtb72ltc-gery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Alex W.H.</dc:creator>
  <cp:lastModifiedBy>Lui Fred L.F.</cp:lastModifiedBy>
  <dcterms:created xsi:type="dcterms:W3CDTF">2018-07-07T08:57:08Z</dcterms:created>
  <dcterms:modified xsi:type="dcterms:W3CDTF">2026-05-12T07:07:27Z</dcterms:modified>
</cp:coreProperties>
</file>